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_in\git-okProject\"/>
    </mc:Choice>
  </mc:AlternateContent>
  <xr:revisionPtr revIDLastSave="0" documentId="13_ncr:1_{B4AD29AC-E582-4443-A37F-7C28D7A48F27}" xr6:coauthVersionLast="47" xr6:coauthVersionMax="47" xr10:uidLastSave="{00000000-0000-0000-0000-000000000000}"/>
  <bookViews>
    <workbookView xWindow="-28920" yWindow="-15" windowWidth="29040" windowHeight="16440" activeTab="1" xr2:uid="{00000000-000D-0000-FFFF-FFFF00000000}"/>
  </bookViews>
  <sheets>
    <sheet name="開發人天評估" sheetId="1" r:id="rId1"/>
    <sheet name="專案摘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0" i="1" l="1"/>
  <c r="G259" i="1"/>
  <c r="F259" i="1"/>
  <c r="B7" i="2" s="1"/>
  <c r="B14" i="2" s="1"/>
  <c r="G248" i="1"/>
  <c r="F248" i="1"/>
  <c r="G222" i="1"/>
  <c r="F222" i="1"/>
  <c r="G167" i="1"/>
  <c r="F167" i="1"/>
  <c r="G138" i="1"/>
  <c r="F138" i="1"/>
  <c r="G119" i="1"/>
  <c r="F119" i="1"/>
  <c r="G111" i="1"/>
  <c r="F111" i="1"/>
  <c r="G105" i="1"/>
  <c r="F105" i="1"/>
  <c r="G68" i="1"/>
  <c r="F68" i="1"/>
  <c r="G252" i="1"/>
  <c r="G253" i="1"/>
  <c r="G254" i="1"/>
  <c r="G255" i="1"/>
  <c r="G256" i="1"/>
  <c r="G257" i="1"/>
  <c r="G258" i="1"/>
  <c r="G251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24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169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40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21" i="1"/>
  <c r="G114" i="1"/>
  <c r="G115" i="1"/>
  <c r="G116" i="1"/>
  <c r="G117" i="1"/>
  <c r="G118" i="1"/>
  <c r="G113" i="1"/>
  <c r="G108" i="1"/>
  <c r="G109" i="1"/>
  <c r="G110" i="1"/>
  <c r="G107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70" i="1"/>
  <c r="G67" i="1"/>
  <c r="G65" i="1"/>
  <c r="F65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7" i="1"/>
  <c r="G6" i="1"/>
  <c r="G5" i="1"/>
  <c r="G4" i="1"/>
  <c r="G3" i="1"/>
  <c r="F260" i="1"/>
  <c r="B6" i="2" s="1"/>
  <c r="B13" i="2" l="1"/>
  <c r="B15" i="2" s="1"/>
  <c r="B8" i="2"/>
</calcChain>
</file>

<file path=xl/sharedStrings.xml><?xml version="1.0" encoding="utf-8"?>
<sst xmlns="http://schemas.openxmlformats.org/spreadsheetml/2006/main" count="1000" uniqueCount="521">
  <si>
    <t>序號</t>
  </si>
  <si>
    <t>功能名稱</t>
  </si>
  <si>
    <t>程式代號</t>
  </si>
  <si>
    <t>分類</t>
  </si>
  <si>
    <t>複雜度</t>
  </si>
  <si>
    <t>預估人天</t>
  </si>
  <si>
    <t>開發費用(NT$)</t>
  </si>
  <si>
    <t>備註</t>
  </si>
  <si>
    <t>人員管理</t>
  </si>
  <si>
    <t>醫事人員專科證書審核作業(HMAI1164S01)</t>
  </si>
  <si>
    <t>HMAI1164S01</t>
  </si>
  <si>
    <t>中等</t>
  </si>
  <si>
    <t>醫事人員專科證書審核作業整批上傳( HMAI1164S02)</t>
  </si>
  <si>
    <t xml:space="preserve"> HMAI1164S02</t>
  </si>
  <si>
    <t>複雜</t>
  </si>
  <si>
    <t>醫事人員資格審核作業(HMAI1165S01)</t>
  </si>
  <si>
    <t>HMAI1165S01</t>
  </si>
  <si>
    <t>醫事人員資格整批審核作業整批上傳(HMAI1165S02)</t>
  </si>
  <si>
    <t>HMAI1165S02</t>
  </si>
  <si>
    <t>報備支援審核作業(HMAI1166S01)</t>
  </si>
  <si>
    <t>HMAI1166S01</t>
  </si>
  <si>
    <t>醫事人員報備支援照護審核作業( HMAI1181S01)</t>
  </si>
  <si>
    <t xml:space="preserve"> HMAI1181S01</t>
  </si>
  <si>
    <t>扶療養機構報備支援資料線上審核作業查詢(HMAI1281S01)</t>
  </si>
  <si>
    <t>HMAI1281S01</t>
  </si>
  <si>
    <t>扶療養機構報備支援資料清單查詢(HMAI1281S02)</t>
  </si>
  <si>
    <t>HMAI1281S02</t>
  </si>
  <si>
    <t>簡單</t>
  </si>
  <si>
    <t>扶療養機構報備支援資料線上審核作業(HMAI1281S03)</t>
  </si>
  <si>
    <t>HMAI1281S03</t>
  </si>
  <si>
    <t>醫事機構醫事人員查詢作業(HMAI2600S01)</t>
  </si>
  <si>
    <t>HMAI2600S01</t>
  </si>
  <si>
    <t>醫事機構醫事人員現況清單查詢(HMAI2600S02)</t>
  </si>
  <si>
    <t>HMAI2600S02</t>
  </si>
  <si>
    <t>醫事機構醫事人員資料作業(HMAI2600S03)</t>
  </si>
  <si>
    <t>HMAI2600S03</t>
  </si>
  <si>
    <t>醫事機構醫事人員歷史清單查詢(HMAI2600S12)</t>
  </si>
  <si>
    <t>HMAI2600S12</t>
  </si>
  <si>
    <t>醫事機構醫事人員歷史統計表查詢(HMAI2600S22)</t>
  </si>
  <si>
    <t>HMAI2600S22</t>
  </si>
  <si>
    <t>醫事機構醫事人員基本資料作業(HMAI2601S01)</t>
  </si>
  <si>
    <t>HMAI2601S01</t>
  </si>
  <si>
    <t>醫事人員特殊經歷作業(HMAI2602S01)</t>
  </si>
  <si>
    <t>HMAI2602S01</t>
  </si>
  <si>
    <t>醫事人員執業經歷作業(HMAI2603S01)</t>
  </si>
  <si>
    <t>HMAI2603S01</t>
  </si>
  <si>
    <t>醫事人員專科資料作業(HMAI2604S01)</t>
  </si>
  <si>
    <t>HMAI2604S01</t>
  </si>
  <si>
    <t>醫事人員資格作業(.HMAI2605S01)</t>
  </si>
  <si>
    <t>.HMAI2605S01</t>
  </si>
  <si>
    <t>醫事人員執業停復業作業(MHAH2606S01)</t>
  </si>
  <si>
    <t>MHAH2606S01</t>
  </si>
  <si>
    <t>醫事機構報備支援作業(HMAI2610S01)</t>
  </si>
  <si>
    <t>HMAI2610S01</t>
  </si>
  <si>
    <t>醫事機構報備支援查詢與列印(HMAI2610S02)</t>
  </si>
  <si>
    <t>HMAI2610S02</t>
  </si>
  <si>
    <t>其他機構報備支援查詢(HMAI2613S01)</t>
  </si>
  <si>
    <t>HMAI2613S01</t>
  </si>
  <si>
    <t>報備支援其他機構查詢(HMAI2614S01)</t>
  </si>
  <si>
    <t>HMAI2614S01</t>
  </si>
  <si>
    <t>醫事人員報備支援作業(HMAI2611S01)</t>
  </si>
  <si>
    <t>HMAI2611S01</t>
  </si>
  <si>
    <t>醫事人員報備支援查詢清單(HMAI2611S02)</t>
  </si>
  <si>
    <t>HMAI2611S02</t>
  </si>
  <si>
    <t>醫事人員報備支援歷史作業(HMAI2612S01)</t>
  </si>
  <si>
    <t>HMAI2612S01</t>
  </si>
  <si>
    <t>醫事人員大事記作業(HMAI2620S01)</t>
  </si>
  <si>
    <t>HMAI2620S01</t>
  </si>
  <si>
    <t>醫事機構續約-藥事人員清冊列印作業(HMAI2790R02)</t>
  </si>
  <si>
    <t>HMAI2790R02</t>
  </si>
  <si>
    <t>扶療養機構報備支援作業(.HMAI2810S01)</t>
  </si>
  <si>
    <t>.HMAI2810S01</t>
  </si>
  <si>
    <t>扶療養機構報備支援查詢與列印(HMAI2810S02)</t>
  </si>
  <si>
    <t>HMAI2810S02</t>
  </si>
  <si>
    <t>醫事人員報備支援作業(HMAI2811S01)</t>
  </si>
  <si>
    <t>HMAI2811S01</t>
  </si>
  <si>
    <t>醫事人員報備支援其他機構查詢清單(HMAI2811S02)</t>
  </si>
  <si>
    <t>HMAI2811S02</t>
  </si>
  <si>
    <t>醫事人員報備支援照護機構(新增)作業(HMAI2811S03)</t>
  </si>
  <si>
    <t>HMAI2811S03</t>
  </si>
  <si>
    <t>醫事人員報備支援其他機構歷史作業(HMAI2812S01)</t>
  </si>
  <si>
    <t>HMAI2812S01</t>
  </si>
  <si>
    <t>扶療養機構接受醫事人員支援清單(HMAI2813S01)</t>
  </si>
  <si>
    <t>HMAI2813S01</t>
  </si>
  <si>
    <t>矯正機關報備支援作業(HMAI2910S01)</t>
  </si>
  <si>
    <t>HMAI2910S01</t>
  </si>
  <si>
    <t>矯正機關報備支援查詢與列印(HMAI2910S02)</t>
  </si>
  <si>
    <t>HMAI2910S02</t>
  </si>
  <si>
    <t>醫事人員報備支援作業(HMAI2911S01)</t>
  </si>
  <si>
    <t>HMAI2911S01</t>
  </si>
  <si>
    <t>矯正機關接受醫事人員支援清單(HMAI2913S01)</t>
  </si>
  <si>
    <t>HMAI2913S01</t>
  </si>
  <si>
    <t>接受支援列印(HMAI2915R01)</t>
  </si>
  <si>
    <t>HMAI2915R01</t>
  </si>
  <si>
    <t>醫事人員專科證書代碼作業(HMAI4003S01)</t>
  </si>
  <si>
    <t>HMAI4003S01</t>
  </si>
  <si>
    <t>醫事人員專科證書代碼作業(HMAI4003S03)</t>
  </si>
  <si>
    <t>HMAI4003S03</t>
  </si>
  <si>
    <t>醫事人員資格在職訓練查詢作業(HMAI6201S01)</t>
  </si>
  <si>
    <t>HMAI6201S01</t>
  </si>
  <si>
    <t>醫事人員資格在職訓練清單查詢清單(HMAI6201S02)</t>
  </si>
  <si>
    <t>HMAI6201S02</t>
  </si>
  <si>
    <t>醫事機構支援扶療養機構查詢(HMAI6800S01)</t>
  </si>
  <si>
    <t>HMAI6800S01</t>
  </si>
  <si>
    <t>醫事機構支援扶療養機構查詢結果(HMAI6800S02)</t>
  </si>
  <si>
    <t>HMAI6800S02</t>
  </si>
  <si>
    <t>醫事人員查詢(HMAI7000S01)</t>
  </si>
  <si>
    <t>HMAI7000S01</t>
  </si>
  <si>
    <t>醫事人員清單查詢(HMAI7000S02)</t>
  </si>
  <si>
    <t>HMAI7000S02</t>
  </si>
  <si>
    <t>醫事人員基本資訊查詢(HMAI7000S03)</t>
  </si>
  <si>
    <t>HMAI7000S03</t>
  </si>
  <si>
    <t>醫事人員專科證書查詢(HMAI7010S01)</t>
  </si>
  <si>
    <t>HMAI7010S01</t>
  </si>
  <si>
    <t>醫事人員資格查詢(HMAI7011S01)</t>
  </si>
  <si>
    <t>HMAI7011S01</t>
  </si>
  <si>
    <t>醫事人員特殊經歷查詢(HMAI7012S01)</t>
  </si>
  <si>
    <t>HMAI7012S01</t>
  </si>
  <si>
    <t>醫事人員執業經歷查詢(HMAI7020S01)</t>
  </si>
  <si>
    <t>HMAI7020S01</t>
  </si>
  <si>
    <t>醫事人員報備支援查詢(HMAI7030S01)</t>
  </si>
  <si>
    <t>HMAI7030S01</t>
  </si>
  <si>
    <t>醫事人員大事記查詢(HMAI7040S01)</t>
  </si>
  <si>
    <t>HMAI7040S01</t>
  </si>
  <si>
    <t>醫事人員違約明細資料查詢(HMAI7050S01)</t>
  </si>
  <si>
    <t>HMAI7050S01</t>
  </si>
  <si>
    <t>醫事機構醫事人員數核對作業(HMAI8012S01)</t>
  </si>
  <si>
    <t>HMAI8012S01</t>
  </si>
  <si>
    <t>開業醫事人員與特約機構負責人不符列印(HMAI8023R01)</t>
  </si>
  <si>
    <t>HMAI8023R01</t>
  </si>
  <si>
    <t>醫事人員違約處分期間仍在報備支援列印(HMAI8024R01)</t>
  </si>
  <si>
    <t>HMAI8024R01</t>
  </si>
  <si>
    <t>人員管理 小計</t>
  </si>
  <si>
    <t>其他</t>
  </si>
  <si>
    <t>特約院所中所有專科醫師生效迄日小於系統日清單(HMAI8025R01)</t>
  </si>
  <si>
    <t>HMAI8025R01</t>
  </si>
  <si>
    <t>其他 小計</t>
  </si>
  <si>
    <t>基本資料維護</t>
  </si>
  <si>
    <t>醫事機構窗口聯絡人建檔( HMAI1014S01)</t>
  </si>
  <si>
    <t xml:space="preserve"> HMAI1014S01</t>
  </si>
  <si>
    <t>特約機構設置科別建檔(HMAI1020S01)</t>
  </si>
  <si>
    <t>HMAI1020S01</t>
  </si>
  <si>
    <t>特約機構服務項目建檔( HMAI1030S01)</t>
  </si>
  <si>
    <t xml:space="preserve"> HMAI1030S01</t>
  </si>
  <si>
    <t>特約機構特殊設備建檔作業(HMAI1040S01)</t>
  </si>
  <si>
    <t>HMAI1040S01</t>
  </si>
  <si>
    <t>特約機構特殊設備使用醫師建檔(HMAI1041S01)</t>
  </si>
  <si>
    <t>HMAI1041S01</t>
  </si>
  <si>
    <t>機構病床建檔作業(HMAI1050S01)</t>
  </si>
  <si>
    <t>HMAI1050S01</t>
  </si>
  <si>
    <t>特約機構病床明細建檔(HMAI1051S01)</t>
  </si>
  <si>
    <t>HMAI1051S01</t>
  </si>
  <si>
    <t>診療科別審核作業(HMAI1120S01)</t>
  </si>
  <si>
    <t>HMAI1120S01</t>
  </si>
  <si>
    <t>服務項目審核作業(HMAI1130S01)</t>
  </si>
  <si>
    <t>HMAI1130S01</t>
  </si>
  <si>
    <t>特殊設備審核作業(HMAI1140S01)</t>
  </si>
  <si>
    <t>HMAI1140S01</t>
  </si>
  <si>
    <t>病床審核作業(HMAI1150S01)</t>
  </si>
  <si>
    <t>HMAI1150S01</t>
  </si>
  <si>
    <t>窗口聯絡人作業(HMAI2140S01)</t>
  </si>
  <si>
    <t>HMAI2140S01</t>
  </si>
  <si>
    <t>設置科別作業(HMAI2200S01)</t>
  </si>
  <si>
    <t>HMAI2200S01</t>
  </si>
  <si>
    <t>醫事機構特殊設備作業(HMAI2410S01)</t>
  </si>
  <si>
    <t>HMAI2410S01</t>
  </si>
  <si>
    <t>醫事機構特殊設備明細作業(HMAI2411S01)</t>
  </si>
  <si>
    <t>HMAI2411S01</t>
  </si>
  <si>
    <t>醫事機構特殊設備明細更正(HMAI2411S03)</t>
  </si>
  <si>
    <t>HMAI2411S03</t>
  </si>
  <si>
    <t>醫事機構特殊設備統計表預覽列印(HMAI2412R01)</t>
  </si>
  <si>
    <t>HMAI2412R01</t>
  </si>
  <si>
    <t>醫事機構特殊設備統計與明細查詢(HMAI2412S01)</t>
  </si>
  <si>
    <t>HMAI2412S01</t>
  </si>
  <si>
    <t>醫事機構特殊設備統計清單查詢(HMAI2412S02)</t>
  </si>
  <si>
    <t>HMAI2412S02</t>
  </si>
  <si>
    <t>醫事機構特殊設備明細清單查詢(HMAI2412S03)</t>
  </si>
  <si>
    <t>HMAI2412S03</t>
  </si>
  <si>
    <t>醫事機構病床資料作業(HMAI2500S01)</t>
  </si>
  <si>
    <t>HMAI2500S01</t>
  </si>
  <si>
    <t>醫事機構病床明細資料作業(HMAI2501S01)</t>
  </si>
  <si>
    <t>HMAI2501S01</t>
  </si>
  <si>
    <t>醫事機構病床資料更新作業(HMAI2501S03)</t>
  </si>
  <si>
    <t>HMAI2501S03</t>
  </si>
  <si>
    <t>醫事機構病床別數統計表預覽列印(HMAI2502R01)</t>
  </si>
  <si>
    <t>HMAI2502R01</t>
  </si>
  <si>
    <t>醫事機構病床資料查詢作業(HMAI2502S01)</t>
  </si>
  <si>
    <t>HMAI2502S01</t>
  </si>
  <si>
    <t>醫事機構病床明細統計查詢作業(HMAI2502S02)</t>
  </si>
  <si>
    <t>HMAI2502S02</t>
  </si>
  <si>
    <t>醫事機構病床明細資料清單查詢作業(HMAI2502S03)</t>
  </si>
  <si>
    <t>HMAI2502S03</t>
  </si>
  <si>
    <t>矯正機關特殊設備作業(HMAI2940S01)</t>
  </si>
  <si>
    <t>HMAI2940S01</t>
  </si>
  <si>
    <t>矯正機關特殊設備明細作業(HMAI2941S01)</t>
  </si>
  <si>
    <t>HMAI2941S01</t>
  </si>
  <si>
    <t>矯正機關特殊設備明細更正(HMAI2941S03)</t>
  </si>
  <si>
    <t>HMAI2941S03</t>
  </si>
  <si>
    <t>矯正機關特殊設備統計與明細查詢(HMAI2942S01)</t>
  </si>
  <si>
    <t>HMAI2942S01</t>
  </si>
  <si>
    <t>矯正機關特殊設備統計清單查詢(HMAI2942S02)</t>
  </si>
  <si>
    <t>HMAI2942S02</t>
  </si>
  <si>
    <t>矯正機關特殊設備明細清單查詢(HMAI2942S03)</t>
  </si>
  <si>
    <t>HMAI2942S03</t>
  </si>
  <si>
    <t>特約醫事機構病床管理統計表(HMAI6520S01)</t>
  </si>
  <si>
    <t>HMAI6520S01</t>
  </si>
  <si>
    <t>特約醫事機構特殊設備統計表(HMAI6560S01)</t>
  </si>
  <si>
    <t>HMAI6560S01</t>
  </si>
  <si>
    <t>基本資料維護 小計</t>
  </si>
  <si>
    <t>報表作業</t>
  </si>
  <si>
    <t>醫事機構地址貼條與大宗掛號列印作業(HMAI2792R01)</t>
  </si>
  <si>
    <t>HMAI2792R01</t>
  </si>
  <si>
    <t>醫事機構帳號異動列印(HMAI8021R01)</t>
  </si>
  <si>
    <t>HMAI8021R01</t>
  </si>
  <si>
    <t>特約機構未歇業-負責人已歇業列印(HMAI8022R01)</t>
  </si>
  <si>
    <t>HMAI8022R01</t>
  </si>
  <si>
    <t>異常就醫序號G000使用迄日為空值列印(HMAI8030R01)</t>
  </si>
  <si>
    <t>HMAI8030R01</t>
  </si>
  <si>
    <t>報表作業 小計</t>
  </si>
  <si>
    <t>審核作業</t>
  </si>
  <si>
    <t>醫事機構線上審核作業查詢(HMAI1100S01)</t>
  </si>
  <si>
    <t>HMAI1100S01</t>
  </si>
  <si>
    <t>特約機構審核清單(HMAI1100S03)</t>
  </si>
  <si>
    <t>HMAI1100S03</t>
  </si>
  <si>
    <t>特約機構線上申請審核作業(HMAI1102S01)</t>
  </si>
  <si>
    <t>HMAI1102S01</t>
  </si>
  <si>
    <t>醫事機構休診審核作業(HMAI1105S01)</t>
  </si>
  <si>
    <t>HMAI1105S01</t>
  </si>
  <si>
    <t>特約機構審核統計報表(HMAI1109R01)</t>
  </si>
  <si>
    <t>HMAI1109R01</t>
  </si>
  <si>
    <t>特約機構審核統計作業(HMAI1109S01)</t>
  </si>
  <si>
    <t>HMAI1109S01</t>
  </si>
  <si>
    <t>審核作業 小計</t>
  </si>
  <si>
    <t>文件管理</t>
  </si>
  <si>
    <t>醫事機構合約資料作業(HMAI2150S01)</t>
  </si>
  <si>
    <t>HMAI2150S01</t>
  </si>
  <si>
    <t>合約屆滿高齡負責醫師名單(HMAI2712R01)</t>
  </si>
  <si>
    <t>HMAI2712R01</t>
  </si>
  <si>
    <t>合約屆滿違規名單(HMAI2713R01)</t>
  </si>
  <si>
    <t>HMAI2713R01</t>
  </si>
  <si>
    <t>醫事機構印鑑卡明細表(HMAI2730R01)</t>
  </si>
  <si>
    <t>HMAI2730R01</t>
  </si>
  <si>
    <t>特約機構合約文件作業(HMAI2740S01)</t>
  </si>
  <si>
    <t>HMAI2740S01</t>
  </si>
  <si>
    <t>特約機構合約文件作業(HMAI2745S01)</t>
  </si>
  <si>
    <t>HMAI2745S01</t>
  </si>
  <si>
    <t>特約機構印鑑作業(HMAI2730S01)</t>
  </si>
  <si>
    <t>HMAI2730S01</t>
  </si>
  <si>
    <t>印鑑列印(HMAI2731R01)</t>
  </si>
  <si>
    <t>HMAI2731R01</t>
  </si>
  <si>
    <t>特約機構印鑑列印作業(HMAI2731S01)</t>
  </si>
  <si>
    <t>HMAI2731S01</t>
  </si>
  <si>
    <t>特約機構印鑑作業(HMAI2735S01)</t>
  </si>
  <si>
    <t>HMAI2735S01</t>
  </si>
  <si>
    <t>特約醫事機構印鑑拍照作業(HMAI2770S01)</t>
  </si>
  <si>
    <t>HMAI2770S01</t>
  </si>
  <si>
    <t>特約機構印鑑拍照作業清單 查詢(HMAI2770S03)</t>
  </si>
  <si>
    <t>HMAI2770S03</t>
  </si>
  <si>
    <t>特約醫事機構印鑑作業(HMAI2770S02)</t>
  </si>
  <si>
    <t>HMAI2770S02</t>
  </si>
  <si>
    <t>印鑑與合約批次上傳作業(HMAI2771S01)</t>
  </si>
  <si>
    <t>HMAI2771S01</t>
  </si>
  <si>
    <t>特約醫事機構印鑑與合約文件之歷史檔批次轉入作業(HMAI2772S01)</t>
  </si>
  <si>
    <t>HMAI2772S01</t>
  </si>
  <si>
    <t>醫事機構合約貼條列印作業(HMAI2791R01)</t>
  </si>
  <si>
    <t>HMAI2791R01</t>
  </si>
  <si>
    <t>合約屆滿各地區家數統計表(HMAI2795R01)</t>
  </si>
  <si>
    <t>HMAI2795R01</t>
  </si>
  <si>
    <t>文件管理 小計</t>
  </si>
  <si>
    <t>查詢作業</t>
  </si>
  <si>
    <t>特約醫事機構重要資訊查詢作業(HMAI2000S02)</t>
  </si>
  <si>
    <t>HMAI2000S02</t>
  </si>
  <si>
    <t>特約醫事機構資料查詢(HMAI2000S03)</t>
  </si>
  <si>
    <t>HMAI2000S03</t>
  </si>
  <si>
    <t>特醫事機構整合團隊查詢(HMAI2133S01)</t>
  </si>
  <si>
    <t>HMAI2133S01</t>
  </si>
  <si>
    <t>特醫事機構整合團隊查詢結果(HMAI2133S02)</t>
  </si>
  <si>
    <t>HMAI2133S02</t>
  </si>
  <si>
    <t>特約機構違約清單查詢作業(HMAI2160S01)</t>
  </si>
  <si>
    <t>HMAI2160S01</t>
  </si>
  <si>
    <t>醫事機構名稱變更查詢作業(HMAI2170S01)</t>
  </si>
  <si>
    <t>HMAI2170S01</t>
  </si>
  <si>
    <t>醫事機構帳號變更查詢作業(HMAI2180S01)</t>
  </si>
  <si>
    <t>HMAI2180S01</t>
  </si>
  <si>
    <t>醫事機構多筆資料查詢(HMAI2700S03)</t>
  </si>
  <si>
    <t>HMAI2700S03</t>
  </si>
  <si>
    <t>特約醫事機構線上續約查詢作業(HMAI2760S01)</t>
  </si>
  <si>
    <t>HMAI2760S01</t>
  </si>
  <si>
    <t>特約醫事機構線上續約清單查詢(HMAI2760S02)</t>
  </si>
  <si>
    <t>HMAI2760S02</t>
  </si>
  <si>
    <t>醫扶療養機構清單查詢清單(HMAI2815R01)</t>
  </si>
  <si>
    <t>HMAI2815R01</t>
  </si>
  <si>
    <t>矯正機關查詢清單(HMAI2900S03)</t>
  </si>
  <si>
    <t>HMAI2900S03</t>
  </si>
  <si>
    <t>查詢醫事機構設備資料(HMAI2942R01)</t>
  </si>
  <si>
    <t>HMAI2942R01</t>
  </si>
  <si>
    <t>特約醫事管理統計表列印(HMAI6510S01)</t>
  </si>
  <si>
    <t>HMAI6510S01</t>
  </si>
  <si>
    <t>特約醫事服務機構家數統計表列印作業(HMAI6540S01)</t>
  </si>
  <si>
    <t>HMAI6540S01</t>
  </si>
  <si>
    <t>申請特約醫事機構家數統計表(HMAI6541R01)</t>
  </si>
  <si>
    <t>HMAI6541R01</t>
  </si>
  <si>
    <t>特約醫事服務機構家數統計表(HMAI6542R01)</t>
  </si>
  <si>
    <t>HMAI6542R01</t>
  </si>
  <si>
    <t>特約藥局家數統計表(HMAI6543R01)</t>
  </si>
  <si>
    <t>HMAI6543R01</t>
  </si>
  <si>
    <t>特約醫事服務機構增減家數統計表(HMAI6544R01_)</t>
  </si>
  <si>
    <t>HMAI6544R01_</t>
  </si>
  <si>
    <t>特約醫事服務機構家數統計表列印(HMAI6550S01)</t>
  </si>
  <si>
    <t>HMAI6550S01</t>
  </si>
  <si>
    <t>特約醫事服務機構家數增減統計表(HMAI6551R01)</t>
  </si>
  <si>
    <t>HMAI6551R01</t>
  </si>
  <si>
    <t>特約醫事服務機構家數統計表(HMAI6552R01)</t>
  </si>
  <si>
    <t>HMAI6552R01</t>
  </si>
  <si>
    <t>轄區醫事服務機構家數統計表(HMAI6555R01)</t>
  </si>
  <si>
    <t>HMAI6555R01</t>
  </si>
  <si>
    <t>牙醫相對合理門診點數給付原則多筆資料查詢(HMAI6610S01)</t>
  </si>
  <si>
    <t>HMAI6610S01</t>
  </si>
  <si>
    <t>牙醫相對合理門診點數給付原則多筆資料查詢明細(HMAI6610S02)</t>
  </si>
  <si>
    <t>HMAI6610S02</t>
  </si>
  <si>
    <t>地區人口數與牙醫師人口數查詢作業(MHAH6611S01)</t>
  </si>
  <si>
    <t>MHAH6611S01</t>
  </si>
  <si>
    <t>報表查詢與列印作業(HMAI8001S01)</t>
  </si>
  <si>
    <t>HMAI8001S01</t>
  </si>
  <si>
    <t>查詢作業 小計</t>
  </si>
  <si>
    <t>機構管理</t>
  </si>
  <si>
    <t>特約機構申請作業(HMAI0001S01)</t>
  </si>
  <si>
    <t>HMAI0001S01</t>
  </si>
  <si>
    <t>特約醫事機構線上申請(HMAI0001S04)</t>
  </si>
  <si>
    <t>HMAI0001S04</t>
  </si>
  <si>
    <t>特約醫事機構建檔作業(HMAI1000S01)</t>
  </si>
  <si>
    <t>HMAI1000S01</t>
  </si>
  <si>
    <t>醫事機構基本資料建檔(HMAI1010S01)</t>
  </si>
  <si>
    <t>HMAI1010S01</t>
  </si>
  <si>
    <t>特約機構評鑑等級建檔( HMAI1011S01)</t>
  </si>
  <si>
    <t xml:space="preserve"> HMAI1011S01</t>
  </si>
  <si>
    <t>大事記轉入作業(HMAI1012S01)</t>
  </si>
  <si>
    <t>HMAI1012S01</t>
  </si>
  <si>
    <t>違約處份資料轉入大事記作業(HMAI1016S01)</t>
  </si>
  <si>
    <t>HMAI1016S01</t>
  </si>
  <si>
    <t>虛擬健保卡場域作業(HMAI1230S03)</t>
  </si>
  <si>
    <t>HMAI1230S03</t>
  </si>
  <si>
    <t>特約醫事機構作業(HMAI2000S01)</t>
  </si>
  <si>
    <t>HMAI2000S01</t>
  </si>
  <si>
    <t>特約機構基本資料作業(HMAI2100S01)</t>
  </si>
  <si>
    <t>HMAI2100S01</t>
  </si>
  <si>
    <t>特約機構承接作業(HMAI2101S01)</t>
  </si>
  <si>
    <t>HMAI2101S01</t>
  </si>
  <si>
    <t>特約機構負責醫師及帳號維護作業(HMAI2102S01)</t>
  </si>
  <si>
    <t>HMAI2102S01</t>
  </si>
  <si>
    <t>特約機構統編維護作業(HMAI2103S01)</t>
  </si>
  <si>
    <t>HMAI2103S01</t>
  </si>
  <si>
    <t>特約機構評鑑等級作業(HMAI2110S01)</t>
  </si>
  <si>
    <t>HMAI2110S01</t>
  </si>
  <si>
    <t>大事記作業(HMAI2120S01)</t>
  </si>
  <si>
    <t>HMAI2120S01</t>
  </si>
  <si>
    <t>虛擬健保卡場域作業(HMAI2130S03)</t>
  </si>
  <si>
    <t>HMAI2130S03</t>
  </si>
  <si>
    <t>醫事機構類別明細資料作業(HMAI2190S01)</t>
  </si>
  <si>
    <t>HMAI2190S01</t>
  </si>
  <si>
    <t>服務/檢驗(查)項目作業(HMAI2300S01)</t>
  </si>
  <si>
    <t>HMAI2300S01</t>
  </si>
  <si>
    <t>特約醫事機構續約﹝停約、歇業﹞作業(HMAI2700S01_)</t>
  </si>
  <si>
    <t>HMAI2700S01_</t>
  </si>
  <si>
    <t>醫事機構續約批次作業(HMAI2710S01)</t>
  </si>
  <si>
    <t>HMAI2710S01</t>
  </si>
  <si>
    <t>醫事機構整批續約作業(HMAI2711S01)</t>
  </si>
  <si>
    <t>HMAI2711S01</t>
  </si>
  <si>
    <t>特約醫事機構地址貼條列印作業(HMAI2715S01_)</t>
  </si>
  <si>
    <t>HMAI2715S01_</t>
  </si>
  <si>
    <t>地址貼條列印排序作業(HMAI2715S02)</t>
  </si>
  <si>
    <t>HMAI2715S02</t>
  </si>
  <si>
    <t>醫事機構續約歷史作業(HMAI2720S01)</t>
  </si>
  <si>
    <t>HMAI2720S01</t>
  </si>
  <si>
    <t>醫事機構續約清冊(HMAI2790R01)</t>
  </si>
  <si>
    <t>HMAI2790R01</t>
  </si>
  <si>
    <t>醫事機構基本資料清冊(HMAI2793R01)</t>
  </si>
  <si>
    <t>HMAI2793R01</t>
  </si>
  <si>
    <t>扶療養機構作業(HMAI2800S01)</t>
  </si>
  <si>
    <t>HMAI2800S01</t>
  </si>
  <si>
    <t>扶療養機構作業(HMAI2800S02)</t>
  </si>
  <si>
    <t>HMAI2800S02</t>
  </si>
  <si>
    <t>扶療養機構作業(HMAI2800S03)</t>
  </si>
  <si>
    <t>HMAI2800S03</t>
  </si>
  <si>
    <t>矯正機關作業(HMAI2900S01)</t>
  </si>
  <si>
    <t>HMAI2900S01</t>
  </si>
  <si>
    <t>矯正機關承作院所作業(HMAI2930S01)</t>
  </si>
  <si>
    <t>HMAI2930S01</t>
  </si>
  <si>
    <t>矯正機關參與院所作業(HMAI2931S01)</t>
  </si>
  <si>
    <t>HMAI2931S01</t>
  </si>
  <si>
    <t>醫事機構屬性代碼作業(HMAI4001S01)</t>
  </si>
  <si>
    <t>HMAI4001S01</t>
  </si>
  <si>
    <t>醫事機構屬性代碼作業(HMAI4001S03)</t>
  </si>
  <si>
    <t>HMAI4001S03</t>
  </si>
  <si>
    <t>醫事機構地區別代碼作業(HMAI4002S01)</t>
  </si>
  <si>
    <t>HMAI4002S01</t>
  </si>
  <si>
    <t>醫事機構地區別代碼作業(HMAI4002S03)</t>
  </si>
  <si>
    <t>HMAI4002S03</t>
  </si>
  <si>
    <t>特約醫事管理報表列印作業(HMAI6500S01_)</t>
  </si>
  <si>
    <t>HMAI6500S01_</t>
  </si>
  <si>
    <t>特約醫事機構選印(HMAI6530S01)</t>
  </si>
  <si>
    <t>HMAI6530S01</t>
  </si>
  <si>
    <t>牙醫相對合理門診點數原則給付作業(HMAI6600S01)</t>
  </si>
  <si>
    <t>HMAI6600S01</t>
  </si>
  <si>
    <t>醫事機構地區代碼檔有關鄉鎮人口數轉檔作業(HMAI6621S01)</t>
  </si>
  <si>
    <t>HMAI6621S01</t>
  </si>
  <si>
    <t>牙醫相對合理門診點數給付原則計算作業(HMAI6622S01)</t>
  </si>
  <si>
    <t>HMAI6622S01</t>
  </si>
  <si>
    <t>牙醫相對合理門診點數給付原則生效起迄日維護作業(HMAI6623S01)</t>
  </si>
  <si>
    <t>HMAI6623S01</t>
  </si>
  <si>
    <t>牙醫特殊案例作業(HMAI6631S01)</t>
  </si>
  <si>
    <t>HMAI6631S01</t>
  </si>
  <si>
    <t>牙醫特殊案例作業(HMAI6631S03)</t>
  </si>
  <si>
    <t>HMAI6631S03</t>
  </si>
  <si>
    <t>醫事機構批次作業(HMAI8000S01)</t>
  </si>
  <si>
    <t>HMAI8000S01</t>
  </si>
  <si>
    <t>預覽列印作業(HMAI8001S02)</t>
  </si>
  <si>
    <t>HMAI8001S02</t>
  </si>
  <si>
    <t>檔案上傳作業(HMAI8005S01)</t>
  </si>
  <si>
    <t>HMAI8005S01</t>
  </si>
  <si>
    <t>機構專科醫師不符清單作業(HMAI8010S01)</t>
  </si>
  <si>
    <t>HMAI8010S01</t>
  </si>
  <si>
    <t>醫事機構未續約管制作業(HMAI8020S01)</t>
  </si>
  <si>
    <t>HMAI8020S01</t>
  </si>
  <si>
    <t>醫事機構帳號異動列印作業(HMAI8021S01)</t>
  </si>
  <si>
    <t>HMAI8021S01</t>
  </si>
  <si>
    <t>同一醫師重複執業於兩家醫事機構資料明細表(HMAI8026R01)</t>
  </si>
  <si>
    <t>HMAI8026R01</t>
  </si>
  <si>
    <t>異常就醫序號G000使用迄日為空值列印作業(HMAI8030S01)</t>
  </si>
  <si>
    <t>HMAI8030S01</t>
  </si>
  <si>
    <t>特約醫事機構hostdiy作業(HMAI8900S01)</t>
  </si>
  <si>
    <t>HMAI8900S01</t>
  </si>
  <si>
    <t>機構管理 小計</t>
  </si>
  <si>
    <t>申請作業</t>
  </si>
  <si>
    <t>試辦計畫轉入作業(HMAI1013S01)</t>
  </si>
  <si>
    <t>HMAI1013S01</t>
  </si>
  <si>
    <t>試辦計畫審核作業_簡單型(HMAI1230S01)</t>
  </si>
  <si>
    <t>HMAI1230S01</t>
  </si>
  <si>
    <t>試辦計畫線上審核作業查詢(HMAI1230S02)</t>
  </si>
  <si>
    <t>HMAI1230S02</t>
  </si>
  <si>
    <t>試辦計畫審核作業(HMAI1231S01)</t>
  </si>
  <si>
    <t>HMAI1231S01</t>
  </si>
  <si>
    <t>試辦計畫審核作業_參與機構型(HMAI1231S02)</t>
  </si>
  <si>
    <t>HMAI1231S02</t>
  </si>
  <si>
    <t>試辦計畫審核作業_參與人員型(HMAI1232S01)</t>
  </si>
  <si>
    <t>HMAI1232S01</t>
  </si>
  <si>
    <t>試辦計畫審核作業_整合型(HMAI1233S01)</t>
  </si>
  <si>
    <t>HMAI1233S01</t>
  </si>
  <si>
    <t>中牙醫照護計畫審核作業(HMAI1330S01)</t>
  </si>
  <si>
    <t>HMAI1330S01</t>
  </si>
  <si>
    <t>中醫照護計畫審核作業(HMAI1331S01)</t>
  </si>
  <si>
    <t>HMAI1331S01</t>
  </si>
  <si>
    <t>牙醫照護計畫審核作業-牙特(HMAI1332S01)</t>
  </si>
  <si>
    <t>HMAI1332S01</t>
  </si>
  <si>
    <t>牙醫照護計畫審核作業-牙周(HMAI1333S01)</t>
  </si>
  <si>
    <t>HMAI1333S01</t>
  </si>
  <si>
    <t>醫事機構試辦計畫作業(HMAI2130S01)</t>
  </si>
  <si>
    <t>HMAI2130S01</t>
  </si>
  <si>
    <t>醫事機構試辦計畫查詢作業(HMAI2130S02)</t>
  </si>
  <si>
    <t>HMAI2130S02</t>
  </si>
  <si>
    <t>特約醫事機構試辦計畫(主試辦機構)清單查詢(HMAI2130S03)</t>
  </si>
  <si>
    <t>醫事機構試辦計畫歷史查詢作業(HMAI2130S04)</t>
  </si>
  <si>
    <t>HMAI2130S04</t>
  </si>
  <si>
    <t>醫事機構試辦計畫參與機構作業(HMAI2131S01)</t>
  </si>
  <si>
    <t>HMAI2131S01</t>
  </si>
  <si>
    <t>醫事機構試辦計畫參與機構歷史查詢(HMAI2131S02)</t>
  </si>
  <si>
    <t>HMAI2131S02</t>
  </si>
  <si>
    <t>醫事機構試辦計畫參與人員作業(HMAI2132S01)</t>
  </si>
  <si>
    <t>HMAI2132S01</t>
  </si>
  <si>
    <t>醫事機構試辦計畫參與人員歷史查詢(HMAI2132S02)</t>
  </si>
  <si>
    <t>HMAI2132S02</t>
  </si>
  <si>
    <t>醫事機構試辦計畫維護(HMAI2136S01)</t>
  </si>
  <si>
    <t>HMAI2136S01</t>
  </si>
  <si>
    <t>試辦計畫參與機構查詢作業(HMAI6131S01)</t>
  </si>
  <si>
    <t>HMAI6131S01</t>
  </si>
  <si>
    <t>試辦計畫(參與機構)查詢清單(HMAI6131S02)</t>
  </si>
  <si>
    <t>HMAI6131S02</t>
  </si>
  <si>
    <t>試辦計畫參與人員查詢作業(HMAI6132S01)</t>
  </si>
  <si>
    <t>HMAI6132S01</t>
  </si>
  <si>
    <t>試辦計畫(參與人員)查詢清單(HMAI6132S02)</t>
  </si>
  <si>
    <t>HMAI6132S02</t>
  </si>
  <si>
    <t>申請作業 小計</t>
  </si>
  <si>
    <t>其他工作項目</t>
  </si>
  <si>
    <t>A1</t>
  </si>
  <si>
    <t>排除弱點掃描中及高風險的修正</t>
  </si>
  <si>
    <t>-</t>
  </si>
  <si>
    <t>安全性</t>
  </si>
  <si>
    <t>A2</t>
  </si>
  <si>
    <t>SA 文件 (System Analysis)</t>
  </si>
  <si>
    <t>文件</t>
  </si>
  <si>
    <t>A3</t>
  </si>
  <si>
    <t>SD 文件 (System Design)</t>
  </si>
  <si>
    <t>A4</t>
  </si>
  <si>
    <t>測試報告文件</t>
  </si>
  <si>
    <t>A5</t>
  </si>
  <si>
    <t>操作手冊文件</t>
  </si>
  <si>
    <t>A6</t>
  </si>
  <si>
    <t>爬網(程式)優化</t>
  </si>
  <si>
    <t>功能開發</t>
  </si>
  <si>
    <t>A7</t>
  </si>
  <si>
    <t>保固1年</t>
  </si>
  <si>
    <t>維護</t>
  </si>
  <si>
    <t>A8</t>
  </si>
  <si>
    <t>小修改維護1年</t>
  </si>
  <si>
    <t>其他工作項目 小計</t>
  </si>
  <si>
    <t>總計 (GRAND TOTAL)</t>
  </si>
  <si>
    <t>HMA 醫務管理系統 - 第二階段開發評估</t>
  </si>
  <si>
    <t>評估日期</t>
  </si>
  <si>
    <t>2026-03-05</t>
  </si>
  <si>
    <t>項目</t>
  </si>
  <si>
    <t>數值</t>
  </si>
  <si>
    <t>功能開發人天</t>
  </si>
  <si>
    <t>其他工作項目人天</t>
  </si>
  <si>
    <t>總人天</t>
  </si>
  <si>
    <t>每日工時</t>
  </si>
  <si>
    <t>時薪 (NT$)</t>
  </si>
  <si>
    <t>功能開發費用</t>
  </si>
  <si>
    <t>其他工作項目費用</t>
  </si>
  <si>
    <t>總開發費用 (NT$)</t>
  </si>
  <si>
    <t>預估工期 (以6人計算)</t>
  </si>
  <si>
    <t>200 天 (9.5月)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</si>
</sst>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4"/>
      <color rgb="FF366092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3" fillId="3" borderId="0" xfId="0" applyFont="1" applyFill="1"/>
    <xf numFmtId="0" fontId="0" fillId="3" borderId="0" xfId="0" applyFill="1"/>
    <xf numFmtId="0" fontId="3" fillId="0" borderId="0" xfId="0" applyFont="1"/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/>
    <xf numFmtId="0" fontId="4" fillId="0" borderId="0" xfId="0" applyFont="1"/>
    <xf numFmtId="0" fontId="0" fillId="0" borderId="0" xfId="0"/>
    <xf numFmtId="3" fontId="0" fillId="0" borderId="0" xfId="0" applyNumberFormat="1"/>
    <xf numFmtId="0" fontId="0" fillId="5" borderId="0" xfId="0" applyFill="1"/>
    <xf numFmtId="3" fontId="6" fillId="5" borderId="0" xfId="0" applyNumberFormat="1" applyFont="1" applyFill="1"/>
    <xf numFmtId="0" fontId="6" fillId="5" borderId="0" xfId="0" applyFont="1" applyFill="1"/>
    <xf numFmtId="0" fontId="3" fillId="6" borderId="0" xfId="0" applyFont="1" applyFill="1"/>
    <xf numFmtId="3" fontId="5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"/>
  <sheetViews>
    <sheetView topLeftCell="A237" workbookViewId="0">
      <selection activeCell="G260" sqref="G260"/>
    </sheetView>
  </sheetViews>
  <sheetFormatPr defaultRowHeight="15" x14ac:dyDescent="0.25"/>
  <cols>
    <col min="1" max="1" width="8" customWidth="1"/>
    <col min="2" max="2" width="50" customWidth="1"/>
    <col min="3" max="3" width="20" customWidth="1"/>
    <col min="4" max="4" width="15" customWidth="1"/>
    <col min="5" max="6" width="12" customWidth="1"/>
    <col min="7" max="7" width="18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2" t="s">
        <v>8</v>
      </c>
      <c r="B2" s="13"/>
      <c r="C2" s="13"/>
      <c r="D2" s="13"/>
      <c r="E2" s="13"/>
      <c r="F2" s="13"/>
      <c r="G2" s="13"/>
      <c r="H2" s="13"/>
    </row>
    <row r="3" spans="1:8" x14ac:dyDescent="0.25">
      <c r="A3" s="3">
        <v>26</v>
      </c>
      <c r="B3" s="2" t="s">
        <v>9</v>
      </c>
      <c r="C3" s="2" t="s">
        <v>10</v>
      </c>
      <c r="D3" s="2" t="s">
        <v>8</v>
      </c>
      <c r="E3" s="2" t="s">
        <v>11</v>
      </c>
      <c r="F3" s="4">
        <v>5</v>
      </c>
      <c r="G3" s="5">
        <f>F3*8000</f>
        <v>40000</v>
      </c>
      <c r="H3" s="2"/>
    </row>
    <row r="4" spans="1:8" x14ac:dyDescent="0.25">
      <c r="A4" s="3">
        <v>27</v>
      </c>
      <c r="B4" s="2" t="s">
        <v>12</v>
      </c>
      <c r="C4" s="2" t="s">
        <v>13</v>
      </c>
      <c r="D4" s="2" t="s">
        <v>8</v>
      </c>
      <c r="E4" s="2" t="s">
        <v>14</v>
      </c>
      <c r="F4" s="4">
        <v>10</v>
      </c>
      <c r="G4" s="5">
        <f>F4*8000</f>
        <v>80000</v>
      </c>
      <c r="H4" s="2"/>
    </row>
    <row r="5" spans="1:8" x14ac:dyDescent="0.25">
      <c r="A5" s="3">
        <v>28</v>
      </c>
      <c r="B5" s="2" t="s">
        <v>15</v>
      </c>
      <c r="C5" s="2" t="s">
        <v>16</v>
      </c>
      <c r="D5" s="2" t="s">
        <v>8</v>
      </c>
      <c r="E5" s="2" t="s">
        <v>11</v>
      </c>
      <c r="F5" s="4">
        <v>5</v>
      </c>
      <c r="G5" s="5">
        <f>F5*8000</f>
        <v>40000</v>
      </c>
      <c r="H5" s="2"/>
    </row>
    <row r="6" spans="1:8" x14ac:dyDescent="0.25">
      <c r="A6" s="3">
        <v>29</v>
      </c>
      <c r="B6" s="2" t="s">
        <v>17</v>
      </c>
      <c r="C6" s="2" t="s">
        <v>18</v>
      </c>
      <c r="D6" s="2" t="s">
        <v>8</v>
      </c>
      <c r="E6" s="2" t="s">
        <v>14</v>
      </c>
      <c r="F6" s="4">
        <v>10</v>
      </c>
      <c r="G6" s="5">
        <f>F6*8000</f>
        <v>80000</v>
      </c>
      <c r="H6" s="2"/>
    </row>
    <row r="7" spans="1:8" x14ac:dyDescent="0.25">
      <c r="A7" s="3">
        <v>30</v>
      </c>
      <c r="B7" s="2" t="s">
        <v>19</v>
      </c>
      <c r="C7" s="2" t="s">
        <v>20</v>
      </c>
      <c r="D7" s="2" t="s">
        <v>8</v>
      </c>
      <c r="E7" s="2" t="s">
        <v>11</v>
      </c>
      <c r="F7" s="4">
        <v>5</v>
      </c>
      <c r="G7" s="5">
        <f>F7*8000</f>
        <v>40000</v>
      </c>
      <c r="H7" s="2"/>
    </row>
    <row r="8" spans="1:8" x14ac:dyDescent="0.25">
      <c r="A8" s="3">
        <v>31</v>
      </c>
      <c r="B8" s="2" t="s">
        <v>21</v>
      </c>
      <c r="C8" s="2" t="s">
        <v>22</v>
      </c>
      <c r="D8" s="2" t="s">
        <v>8</v>
      </c>
      <c r="E8" s="2" t="s">
        <v>11</v>
      </c>
      <c r="F8" s="4">
        <v>5</v>
      </c>
      <c r="G8" s="5">
        <f t="shared" ref="G8:G64" si="0">F8*8000</f>
        <v>40000</v>
      </c>
      <c r="H8" s="2"/>
    </row>
    <row r="9" spans="1:8" x14ac:dyDescent="0.25">
      <c r="A9" s="3">
        <v>32</v>
      </c>
      <c r="B9" s="2" t="s">
        <v>23</v>
      </c>
      <c r="C9" s="2" t="s">
        <v>24</v>
      </c>
      <c r="D9" s="2" t="s">
        <v>8</v>
      </c>
      <c r="E9" s="2" t="s">
        <v>11</v>
      </c>
      <c r="F9" s="4">
        <v>5</v>
      </c>
      <c r="G9" s="5">
        <f t="shared" si="0"/>
        <v>40000</v>
      </c>
      <c r="H9" s="2"/>
    </row>
    <row r="10" spans="1:8" x14ac:dyDescent="0.25">
      <c r="A10" s="3">
        <v>33</v>
      </c>
      <c r="B10" s="2" t="s">
        <v>25</v>
      </c>
      <c r="C10" s="2" t="s">
        <v>26</v>
      </c>
      <c r="D10" s="2" t="s">
        <v>8</v>
      </c>
      <c r="E10" s="2" t="s">
        <v>27</v>
      </c>
      <c r="F10" s="4">
        <v>3</v>
      </c>
      <c r="G10" s="5">
        <f t="shared" si="0"/>
        <v>24000</v>
      </c>
      <c r="H10" s="2"/>
    </row>
    <row r="11" spans="1:8" x14ac:dyDescent="0.25">
      <c r="A11" s="3">
        <v>34</v>
      </c>
      <c r="B11" s="2" t="s">
        <v>28</v>
      </c>
      <c r="C11" s="2" t="s">
        <v>29</v>
      </c>
      <c r="D11" s="2" t="s">
        <v>8</v>
      </c>
      <c r="E11" s="2" t="s">
        <v>11</v>
      </c>
      <c r="F11" s="4">
        <v>5</v>
      </c>
      <c r="G11" s="5">
        <f t="shared" si="0"/>
        <v>40000</v>
      </c>
      <c r="H11" s="2"/>
    </row>
    <row r="12" spans="1:8" x14ac:dyDescent="0.25">
      <c r="A12" s="3">
        <v>89</v>
      </c>
      <c r="B12" s="2" t="s">
        <v>30</v>
      </c>
      <c r="C12" s="2" t="s">
        <v>31</v>
      </c>
      <c r="D12" s="2" t="s">
        <v>8</v>
      </c>
      <c r="E12" s="2" t="s">
        <v>11</v>
      </c>
      <c r="F12" s="4">
        <v>5</v>
      </c>
      <c r="G12" s="5">
        <f t="shared" si="0"/>
        <v>40000</v>
      </c>
      <c r="H12" s="2"/>
    </row>
    <row r="13" spans="1:8" x14ac:dyDescent="0.25">
      <c r="A13" s="3">
        <v>90</v>
      </c>
      <c r="B13" s="2" t="s">
        <v>32</v>
      </c>
      <c r="C13" s="2" t="s">
        <v>33</v>
      </c>
      <c r="D13" s="2" t="s">
        <v>8</v>
      </c>
      <c r="E13" s="2" t="s">
        <v>27</v>
      </c>
      <c r="F13" s="4">
        <v>3</v>
      </c>
      <c r="G13" s="5">
        <f t="shared" si="0"/>
        <v>24000</v>
      </c>
      <c r="H13" s="2"/>
    </row>
    <row r="14" spans="1:8" x14ac:dyDescent="0.25">
      <c r="A14" s="3">
        <v>91</v>
      </c>
      <c r="B14" s="2" t="s">
        <v>34</v>
      </c>
      <c r="C14" s="2" t="s">
        <v>35</v>
      </c>
      <c r="D14" s="2" t="s">
        <v>8</v>
      </c>
      <c r="E14" s="2" t="s">
        <v>11</v>
      </c>
      <c r="F14" s="4">
        <v>5</v>
      </c>
      <c r="G14" s="5">
        <f t="shared" si="0"/>
        <v>40000</v>
      </c>
      <c r="H14" s="2"/>
    </row>
    <row r="15" spans="1:8" x14ac:dyDescent="0.25">
      <c r="A15" s="3">
        <v>92</v>
      </c>
      <c r="B15" s="2" t="s">
        <v>36</v>
      </c>
      <c r="C15" s="2" t="s">
        <v>37</v>
      </c>
      <c r="D15" s="2" t="s">
        <v>8</v>
      </c>
      <c r="E15" s="2" t="s">
        <v>27</v>
      </c>
      <c r="F15" s="4">
        <v>3</v>
      </c>
      <c r="G15" s="5">
        <f t="shared" si="0"/>
        <v>24000</v>
      </c>
      <c r="H15" s="2"/>
    </row>
    <row r="16" spans="1:8" x14ac:dyDescent="0.25">
      <c r="A16" s="3">
        <v>93</v>
      </c>
      <c r="B16" s="2" t="s">
        <v>38</v>
      </c>
      <c r="C16" s="2" t="s">
        <v>39</v>
      </c>
      <c r="D16" s="2" t="s">
        <v>8</v>
      </c>
      <c r="E16" s="2" t="s">
        <v>27</v>
      </c>
      <c r="F16" s="4">
        <v>3</v>
      </c>
      <c r="G16" s="5">
        <f t="shared" si="0"/>
        <v>24000</v>
      </c>
      <c r="H16" s="2"/>
    </row>
    <row r="17" spans="1:8" x14ac:dyDescent="0.25">
      <c r="A17" s="3">
        <v>94</v>
      </c>
      <c r="B17" s="2" t="s">
        <v>40</v>
      </c>
      <c r="C17" s="2" t="s">
        <v>41</v>
      </c>
      <c r="D17" s="2" t="s">
        <v>8</v>
      </c>
      <c r="E17" s="2" t="s">
        <v>11</v>
      </c>
      <c r="F17" s="4">
        <v>5</v>
      </c>
      <c r="G17" s="5">
        <f t="shared" si="0"/>
        <v>40000</v>
      </c>
      <c r="H17" s="2"/>
    </row>
    <row r="18" spans="1:8" x14ac:dyDescent="0.25">
      <c r="A18" s="3">
        <v>95</v>
      </c>
      <c r="B18" s="2" t="s">
        <v>42</v>
      </c>
      <c r="C18" s="2" t="s">
        <v>43</v>
      </c>
      <c r="D18" s="2" t="s">
        <v>8</v>
      </c>
      <c r="E18" s="2" t="s">
        <v>11</v>
      </c>
      <c r="F18" s="4">
        <v>5</v>
      </c>
      <c r="G18" s="5">
        <f t="shared" si="0"/>
        <v>40000</v>
      </c>
      <c r="H18" s="2"/>
    </row>
    <row r="19" spans="1:8" x14ac:dyDescent="0.25">
      <c r="A19" s="3">
        <v>96</v>
      </c>
      <c r="B19" s="2" t="s">
        <v>44</v>
      </c>
      <c r="C19" s="2" t="s">
        <v>45</v>
      </c>
      <c r="D19" s="2" t="s">
        <v>8</v>
      </c>
      <c r="E19" s="2" t="s">
        <v>11</v>
      </c>
      <c r="F19" s="4">
        <v>5</v>
      </c>
      <c r="G19" s="5">
        <f t="shared" si="0"/>
        <v>40000</v>
      </c>
      <c r="H19" s="2"/>
    </row>
    <row r="20" spans="1:8" x14ac:dyDescent="0.25">
      <c r="A20" s="3">
        <v>97</v>
      </c>
      <c r="B20" s="2" t="s">
        <v>46</v>
      </c>
      <c r="C20" s="2" t="s">
        <v>47</v>
      </c>
      <c r="D20" s="2" t="s">
        <v>8</v>
      </c>
      <c r="E20" s="2" t="s">
        <v>11</v>
      </c>
      <c r="F20" s="4">
        <v>5</v>
      </c>
      <c r="G20" s="5">
        <f t="shared" si="0"/>
        <v>40000</v>
      </c>
      <c r="H20" s="2"/>
    </row>
    <row r="21" spans="1:8" x14ac:dyDescent="0.25">
      <c r="A21" s="3">
        <v>98</v>
      </c>
      <c r="B21" s="2" t="s">
        <v>48</v>
      </c>
      <c r="C21" s="2" t="s">
        <v>49</v>
      </c>
      <c r="D21" s="2" t="s">
        <v>8</v>
      </c>
      <c r="E21" s="2" t="s">
        <v>11</v>
      </c>
      <c r="F21" s="4">
        <v>5</v>
      </c>
      <c r="G21" s="5">
        <f t="shared" si="0"/>
        <v>40000</v>
      </c>
      <c r="H21" s="2"/>
    </row>
    <row r="22" spans="1:8" x14ac:dyDescent="0.25">
      <c r="A22" s="3">
        <v>99</v>
      </c>
      <c r="B22" s="2" t="s">
        <v>50</v>
      </c>
      <c r="C22" s="2" t="s">
        <v>51</v>
      </c>
      <c r="D22" s="2" t="s">
        <v>8</v>
      </c>
      <c r="E22" s="2" t="s">
        <v>11</v>
      </c>
      <c r="F22" s="4">
        <v>5</v>
      </c>
      <c r="G22" s="5">
        <f t="shared" si="0"/>
        <v>40000</v>
      </c>
      <c r="H22" s="2"/>
    </row>
    <row r="23" spans="1:8" x14ac:dyDescent="0.25">
      <c r="A23" s="3">
        <v>100</v>
      </c>
      <c r="B23" s="2" t="s">
        <v>52</v>
      </c>
      <c r="C23" s="2" t="s">
        <v>53</v>
      </c>
      <c r="D23" s="2" t="s">
        <v>8</v>
      </c>
      <c r="E23" s="2" t="s">
        <v>11</v>
      </c>
      <c r="F23" s="4">
        <v>5</v>
      </c>
      <c r="G23" s="5">
        <f t="shared" si="0"/>
        <v>40000</v>
      </c>
      <c r="H23" s="2"/>
    </row>
    <row r="24" spans="1:8" x14ac:dyDescent="0.25">
      <c r="A24" s="3">
        <v>101</v>
      </c>
      <c r="B24" s="2" t="s">
        <v>54</v>
      </c>
      <c r="C24" s="2" t="s">
        <v>55</v>
      </c>
      <c r="D24" s="2" t="s">
        <v>8</v>
      </c>
      <c r="E24" s="2" t="s">
        <v>27</v>
      </c>
      <c r="F24" s="4">
        <v>3</v>
      </c>
      <c r="G24" s="5">
        <f t="shared" si="0"/>
        <v>24000</v>
      </c>
      <c r="H24" s="2"/>
    </row>
    <row r="25" spans="1:8" x14ac:dyDescent="0.25">
      <c r="A25" s="3">
        <v>102</v>
      </c>
      <c r="B25" s="2" t="s">
        <v>56</v>
      </c>
      <c r="C25" s="2" t="s">
        <v>57</v>
      </c>
      <c r="D25" s="2" t="s">
        <v>8</v>
      </c>
      <c r="E25" s="2" t="s">
        <v>27</v>
      </c>
      <c r="F25" s="4">
        <v>3</v>
      </c>
      <c r="G25" s="5">
        <f t="shared" si="0"/>
        <v>24000</v>
      </c>
      <c r="H25" s="2"/>
    </row>
    <row r="26" spans="1:8" x14ac:dyDescent="0.25">
      <c r="A26" s="3">
        <v>103</v>
      </c>
      <c r="B26" s="2" t="s">
        <v>58</v>
      </c>
      <c r="C26" s="2" t="s">
        <v>59</v>
      </c>
      <c r="D26" s="2" t="s">
        <v>8</v>
      </c>
      <c r="E26" s="2" t="s">
        <v>27</v>
      </c>
      <c r="F26" s="4">
        <v>3</v>
      </c>
      <c r="G26" s="5">
        <f t="shared" si="0"/>
        <v>24000</v>
      </c>
      <c r="H26" s="2"/>
    </row>
    <row r="27" spans="1:8" x14ac:dyDescent="0.25">
      <c r="A27" s="3">
        <v>104</v>
      </c>
      <c r="B27" s="2" t="s">
        <v>60</v>
      </c>
      <c r="C27" s="2" t="s">
        <v>61</v>
      </c>
      <c r="D27" s="2" t="s">
        <v>8</v>
      </c>
      <c r="E27" s="2" t="s">
        <v>11</v>
      </c>
      <c r="F27" s="4">
        <v>5</v>
      </c>
      <c r="G27" s="5">
        <f t="shared" si="0"/>
        <v>40000</v>
      </c>
      <c r="H27" s="2"/>
    </row>
    <row r="28" spans="1:8" x14ac:dyDescent="0.25">
      <c r="A28" s="3">
        <v>105</v>
      </c>
      <c r="B28" s="2" t="s">
        <v>62</v>
      </c>
      <c r="C28" s="2" t="s">
        <v>63</v>
      </c>
      <c r="D28" s="2" t="s">
        <v>8</v>
      </c>
      <c r="E28" s="2" t="s">
        <v>27</v>
      </c>
      <c r="F28" s="4">
        <v>3</v>
      </c>
      <c r="G28" s="5">
        <f t="shared" si="0"/>
        <v>24000</v>
      </c>
      <c r="H28" s="2"/>
    </row>
    <row r="29" spans="1:8" x14ac:dyDescent="0.25">
      <c r="A29" s="3">
        <v>106</v>
      </c>
      <c r="B29" s="2" t="s">
        <v>64</v>
      </c>
      <c r="C29" s="2" t="s">
        <v>65</v>
      </c>
      <c r="D29" s="2" t="s">
        <v>8</v>
      </c>
      <c r="E29" s="2" t="s">
        <v>11</v>
      </c>
      <c r="F29" s="4">
        <v>5</v>
      </c>
      <c r="G29" s="5">
        <f t="shared" si="0"/>
        <v>40000</v>
      </c>
      <c r="H29" s="2"/>
    </row>
    <row r="30" spans="1:8" x14ac:dyDescent="0.25">
      <c r="A30" s="3">
        <v>107</v>
      </c>
      <c r="B30" s="2" t="s">
        <v>66</v>
      </c>
      <c r="C30" s="2" t="s">
        <v>67</v>
      </c>
      <c r="D30" s="2" t="s">
        <v>8</v>
      </c>
      <c r="E30" s="2" t="s">
        <v>11</v>
      </c>
      <c r="F30" s="4">
        <v>5</v>
      </c>
      <c r="G30" s="5">
        <f t="shared" si="0"/>
        <v>40000</v>
      </c>
      <c r="H30" s="2"/>
    </row>
    <row r="31" spans="1:8" x14ac:dyDescent="0.25">
      <c r="A31" s="3">
        <v>132</v>
      </c>
      <c r="B31" s="2" t="s">
        <v>68</v>
      </c>
      <c r="C31" s="2" t="s">
        <v>69</v>
      </c>
      <c r="D31" s="2" t="s">
        <v>8</v>
      </c>
      <c r="E31" s="2" t="s">
        <v>11</v>
      </c>
      <c r="F31" s="4">
        <v>5</v>
      </c>
      <c r="G31" s="5">
        <f t="shared" si="0"/>
        <v>40000</v>
      </c>
      <c r="H31" s="2"/>
    </row>
    <row r="32" spans="1:8" x14ac:dyDescent="0.25">
      <c r="A32" s="3">
        <v>140</v>
      </c>
      <c r="B32" s="2" t="s">
        <v>70</v>
      </c>
      <c r="C32" s="2" t="s">
        <v>71</v>
      </c>
      <c r="D32" s="2" t="s">
        <v>8</v>
      </c>
      <c r="E32" s="2" t="s">
        <v>11</v>
      </c>
      <c r="F32" s="4">
        <v>5</v>
      </c>
      <c r="G32" s="5">
        <f t="shared" si="0"/>
        <v>40000</v>
      </c>
      <c r="H32" s="2"/>
    </row>
    <row r="33" spans="1:8" x14ac:dyDescent="0.25">
      <c r="A33" s="3">
        <v>141</v>
      </c>
      <c r="B33" s="2" t="s">
        <v>72</v>
      </c>
      <c r="C33" s="2" t="s">
        <v>73</v>
      </c>
      <c r="D33" s="2" t="s">
        <v>8</v>
      </c>
      <c r="E33" s="2" t="s">
        <v>27</v>
      </c>
      <c r="F33" s="4">
        <v>3</v>
      </c>
      <c r="G33" s="5">
        <f t="shared" si="0"/>
        <v>24000</v>
      </c>
      <c r="H33" s="2"/>
    </row>
    <row r="34" spans="1:8" x14ac:dyDescent="0.25">
      <c r="A34" s="3">
        <v>142</v>
      </c>
      <c r="B34" s="2" t="s">
        <v>74</v>
      </c>
      <c r="C34" s="2" t="s">
        <v>75</v>
      </c>
      <c r="D34" s="2" t="s">
        <v>8</v>
      </c>
      <c r="E34" s="2" t="s">
        <v>11</v>
      </c>
      <c r="F34" s="4">
        <v>5</v>
      </c>
      <c r="G34" s="5">
        <f t="shared" si="0"/>
        <v>40000</v>
      </c>
      <c r="H34" s="2"/>
    </row>
    <row r="35" spans="1:8" x14ac:dyDescent="0.25">
      <c r="A35" s="3">
        <v>143</v>
      </c>
      <c r="B35" s="2" t="s">
        <v>76</v>
      </c>
      <c r="C35" s="2" t="s">
        <v>77</v>
      </c>
      <c r="D35" s="2" t="s">
        <v>8</v>
      </c>
      <c r="E35" s="2" t="s">
        <v>27</v>
      </c>
      <c r="F35" s="4">
        <v>3</v>
      </c>
      <c r="G35" s="5">
        <f t="shared" si="0"/>
        <v>24000</v>
      </c>
      <c r="H35" s="2"/>
    </row>
    <row r="36" spans="1:8" x14ac:dyDescent="0.25">
      <c r="A36" s="3">
        <v>144</v>
      </c>
      <c r="B36" s="2" t="s">
        <v>78</v>
      </c>
      <c r="C36" s="2" t="s">
        <v>79</v>
      </c>
      <c r="D36" s="2" t="s">
        <v>8</v>
      </c>
      <c r="E36" s="2" t="s">
        <v>11</v>
      </c>
      <c r="F36" s="4">
        <v>5</v>
      </c>
      <c r="G36" s="5">
        <f t="shared" si="0"/>
        <v>40000</v>
      </c>
      <c r="H36" s="2"/>
    </row>
    <row r="37" spans="1:8" x14ac:dyDescent="0.25">
      <c r="A37" s="3">
        <v>145</v>
      </c>
      <c r="B37" s="2" t="s">
        <v>80</v>
      </c>
      <c r="C37" s="2" t="s">
        <v>81</v>
      </c>
      <c r="D37" s="2" t="s">
        <v>8</v>
      </c>
      <c r="E37" s="2" t="s">
        <v>11</v>
      </c>
      <c r="F37" s="4">
        <v>5</v>
      </c>
      <c r="G37" s="5">
        <f t="shared" si="0"/>
        <v>40000</v>
      </c>
      <c r="H37" s="2"/>
    </row>
    <row r="38" spans="1:8" x14ac:dyDescent="0.25">
      <c r="A38" s="3">
        <v>146</v>
      </c>
      <c r="B38" s="2" t="s">
        <v>82</v>
      </c>
      <c r="C38" s="2" t="s">
        <v>83</v>
      </c>
      <c r="D38" s="2" t="s">
        <v>8</v>
      </c>
      <c r="E38" s="2" t="s">
        <v>11</v>
      </c>
      <c r="F38" s="4">
        <v>5</v>
      </c>
      <c r="G38" s="5">
        <f t="shared" si="0"/>
        <v>40000</v>
      </c>
      <c r="H38" s="2"/>
    </row>
    <row r="39" spans="1:8" x14ac:dyDescent="0.25">
      <c r="A39" s="3">
        <v>150</v>
      </c>
      <c r="B39" s="2" t="s">
        <v>84</v>
      </c>
      <c r="C39" s="2" t="s">
        <v>85</v>
      </c>
      <c r="D39" s="2" t="s">
        <v>8</v>
      </c>
      <c r="E39" s="2" t="s">
        <v>11</v>
      </c>
      <c r="F39" s="4">
        <v>5</v>
      </c>
      <c r="G39" s="5">
        <f t="shared" si="0"/>
        <v>40000</v>
      </c>
      <c r="H39" s="2"/>
    </row>
    <row r="40" spans="1:8" x14ac:dyDescent="0.25">
      <c r="A40" s="3">
        <v>151</v>
      </c>
      <c r="B40" s="2" t="s">
        <v>86</v>
      </c>
      <c r="C40" s="2" t="s">
        <v>87</v>
      </c>
      <c r="D40" s="2" t="s">
        <v>8</v>
      </c>
      <c r="E40" s="2" t="s">
        <v>27</v>
      </c>
      <c r="F40" s="4">
        <v>3</v>
      </c>
      <c r="G40" s="5">
        <f t="shared" si="0"/>
        <v>24000</v>
      </c>
      <c r="H40" s="2"/>
    </row>
    <row r="41" spans="1:8" x14ac:dyDescent="0.25">
      <c r="A41" s="3">
        <v>152</v>
      </c>
      <c r="B41" s="2" t="s">
        <v>88</v>
      </c>
      <c r="C41" s="2" t="s">
        <v>89</v>
      </c>
      <c r="D41" s="2" t="s">
        <v>8</v>
      </c>
      <c r="E41" s="2" t="s">
        <v>11</v>
      </c>
      <c r="F41" s="4">
        <v>5</v>
      </c>
      <c r="G41" s="5">
        <f t="shared" si="0"/>
        <v>40000</v>
      </c>
      <c r="H41" s="2"/>
    </row>
    <row r="42" spans="1:8" x14ac:dyDescent="0.25">
      <c r="A42" s="3">
        <v>153</v>
      </c>
      <c r="B42" s="2" t="s">
        <v>62</v>
      </c>
      <c r="C42" s="2" t="s">
        <v>63</v>
      </c>
      <c r="D42" s="2" t="s">
        <v>8</v>
      </c>
      <c r="E42" s="2" t="s">
        <v>27</v>
      </c>
      <c r="F42" s="4">
        <v>3</v>
      </c>
      <c r="G42" s="5">
        <f t="shared" si="0"/>
        <v>24000</v>
      </c>
      <c r="H42" s="2"/>
    </row>
    <row r="43" spans="1:8" x14ac:dyDescent="0.25">
      <c r="A43" s="3">
        <v>154</v>
      </c>
      <c r="B43" s="2" t="s">
        <v>64</v>
      </c>
      <c r="C43" s="2" t="s">
        <v>65</v>
      </c>
      <c r="D43" s="2" t="s">
        <v>8</v>
      </c>
      <c r="E43" s="2" t="s">
        <v>11</v>
      </c>
      <c r="F43" s="4">
        <v>5</v>
      </c>
      <c r="G43" s="5">
        <f t="shared" si="0"/>
        <v>40000</v>
      </c>
      <c r="H43" s="2"/>
    </row>
    <row r="44" spans="1:8" x14ac:dyDescent="0.25">
      <c r="A44" s="3">
        <v>155</v>
      </c>
      <c r="B44" s="2" t="s">
        <v>90</v>
      </c>
      <c r="C44" s="2" t="s">
        <v>91</v>
      </c>
      <c r="D44" s="2" t="s">
        <v>8</v>
      </c>
      <c r="E44" s="2" t="s">
        <v>11</v>
      </c>
      <c r="F44" s="4">
        <v>5</v>
      </c>
      <c r="G44" s="5">
        <f t="shared" si="0"/>
        <v>40000</v>
      </c>
      <c r="H44" s="2"/>
    </row>
    <row r="45" spans="1:8" x14ac:dyDescent="0.25">
      <c r="A45" s="3">
        <v>156</v>
      </c>
      <c r="B45" s="2" t="s">
        <v>92</v>
      </c>
      <c r="C45" s="2" t="s">
        <v>93</v>
      </c>
      <c r="D45" s="2" t="s">
        <v>8</v>
      </c>
      <c r="E45" s="2" t="s">
        <v>27</v>
      </c>
      <c r="F45" s="4">
        <v>3</v>
      </c>
      <c r="G45" s="5">
        <f t="shared" si="0"/>
        <v>24000</v>
      </c>
      <c r="H45" s="2"/>
    </row>
    <row r="46" spans="1:8" x14ac:dyDescent="0.25">
      <c r="A46" s="3">
        <v>170</v>
      </c>
      <c r="B46" s="2" t="s">
        <v>94</v>
      </c>
      <c r="C46" s="2" t="s">
        <v>95</v>
      </c>
      <c r="D46" s="2" t="s">
        <v>8</v>
      </c>
      <c r="E46" s="2" t="s">
        <v>11</v>
      </c>
      <c r="F46" s="4">
        <v>5</v>
      </c>
      <c r="G46" s="5">
        <f t="shared" si="0"/>
        <v>40000</v>
      </c>
      <c r="H46" s="2"/>
    </row>
    <row r="47" spans="1:8" x14ac:dyDescent="0.25">
      <c r="A47" s="3">
        <v>171</v>
      </c>
      <c r="B47" s="2" t="s">
        <v>96</v>
      </c>
      <c r="C47" s="2" t="s">
        <v>97</v>
      </c>
      <c r="D47" s="2" t="s">
        <v>8</v>
      </c>
      <c r="E47" s="2" t="s">
        <v>11</v>
      </c>
      <c r="F47" s="4">
        <v>5</v>
      </c>
      <c r="G47" s="5">
        <f t="shared" si="0"/>
        <v>40000</v>
      </c>
      <c r="H47" s="2"/>
    </row>
    <row r="48" spans="1:8" x14ac:dyDescent="0.25">
      <c r="A48" s="3">
        <v>176</v>
      </c>
      <c r="B48" s="2" t="s">
        <v>98</v>
      </c>
      <c r="C48" s="2" t="s">
        <v>99</v>
      </c>
      <c r="D48" s="2" t="s">
        <v>8</v>
      </c>
      <c r="E48" s="2" t="s">
        <v>11</v>
      </c>
      <c r="F48" s="4">
        <v>5</v>
      </c>
      <c r="G48" s="5">
        <f t="shared" si="0"/>
        <v>40000</v>
      </c>
      <c r="H48" s="2"/>
    </row>
    <row r="49" spans="1:8" x14ac:dyDescent="0.25">
      <c r="A49" s="3">
        <v>177</v>
      </c>
      <c r="B49" s="2" t="s">
        <v>100</v>
      </c>
      <c r="C49" s="2" t="s">
        <v>101</v>
      </c>
      <c r="D49" s="2" t="s">
        <v>8</v>
      </c>
      <c r="E49" s="2" t="s">
        <v>27</v>
      </c>
      <c r="F49" s="4">
        <v>3</v>
      </c>
      <c r="G49" s="5">
        <f t="shared" si="0"/>
        <v>24000</v>
      </c>
      <c r="H49" s="2"/>
    </row>
    <row r="50" spans="1:8" x14ac:dyDescent="0.25">
      <c r="A50" s="3">
        <v>201</v>
      </c>
      <c r="B50" s="2" t="s">
        <v>102</v>
      </c>
      <c r="C50" s="2" t="s">
        <v>103</v>
      </c>
      <c r="D50" s="2" t="s">
        <v>8</v>
      </c>
      <c r="E50" s="2" t="s">
        <v>27</v>
      </c>
      <c r="F50" s="4">
        <v>3</v>
      </c>
      <c r="G50" s="5">
        <f t="shared" si="0"/>
        <v>24000</v>
      </c>
      <c r="H50" s="2"/>
    </row>
    <row r="51" spans="1:8" x14ac:dyDescent="0.25">
      <c r="A51" s="3">
        <v>202</v>
      </c>
      <c r="B51" s="2" t="s">
        <v>104</v>
      </c>
      <c r="C51" s="2" t="s">
        <v>105</v>
      </c>
      <c r="D51" s="2" t="s">
        <v>8</v>
      </c>
      <c r="E51" s="2" t="s">
        <v>27</v>
      </c>
      <c r="F51" s="4">
        <v>3</v>
      </c>
      <c r="G51" s="5">
        <f t="shared" si="0"/>
        <v>24000</v>
      </c>
      <c r="H51" s="2"/>
    </row>
    <row r="52" spans="1:8" x14ac:dyDescent="0.25">
      <c r="A52" s="3">
        <v>203</v>
      </c>
      <c r="B52" s="2" t="s">
        <v>106</v>
      </c>
      <c r="C52" s="2" t="s">
        <v>107</v>
      </c>
      <c r="D52" s="2" t="s">
        <v>8</v>
      </c>
      <c r="E52" s="2" t="s">
        <v>27</v>
      </c>
      <c r="F52" s="4">
        <v>3</v>
      </c>
      <c r="G52" s="5">
        <f t="shared" si="0"/>
        <v>24000</v>
      </c>
      <c r="H52" s="2"/>
    </row>
    <row r="53" spans="1:8" x14ac:dyDescent="0.25">
      <c r="A53" s="3">
        <v>204</v>
      </c>
      <c r="B53" s="2" t="s">
        <v>108</v>
      </c>
      <c r="C53" s="2" t="s">
        <v>109</v>
      </c>
      <c r="D53" s="2" t="s">
        <v>8</v>
      </c>
      <c r="E53" s="2" t="s">
        <v>27</v>
      </c>
      <c r="F53" s="4">
        <v>3</v>
      </c>
      <c r="G53" s="5">
        <f t="shared" si="0"/>
        <v>24000</v>
      </c>
      <c r="H53" s="2"/>
    </row>
    <row r="54" spans="1:8" x14ac:dyDescent="0.25">
      <c r="A54" s="3">
        <v>205</v>
      </c>
      <c r="B54" s="2" t="s">
        <v>110</v>
      </c>
      <c r="C54" s="2" t="s">
        <v>111</v>
      </c>
      <c r="D54" s="2" t="s">
        <v>8</v>
      </c>
      <c r="E54" s="2" t="s">
        <v>27</v>
      </c>
      <c r="F54" s="4">
        <v>3</v>
      </c>
      <c r="G54" s="5">
        <f t="shared" si="0"/>
        <v>24000</v>
      </c>
      <c r="H54" s="2"/>
    </row>
    <row r="55" spans="1:8" x14ac:dyDescent="0.25">
      <c r="A55" s="3">
        <v>206</v>
      </c>
      <c r="B55" s="2" t="s">
        <v>112</v>
      </c>
      <c r="C55" s="2" t="s">
        <v>113</v>
      </c>
      <c r="D55" s="2" t="s">
        <v>8</v>
      </c>
      <c r="E55" s="2" t="s">
        <v>27</v>
      </c>
      <c r="F55" s="4">
        <v>3</v>
      </c>
      <c r="G55" s="5">
        <f t="shared" si="0"/>
        <v>24000</v>
      </c>
      <c r="H55" s="2"/>
    </row>
    <row r="56" spans="1:8" x14ac:dyDescent="0.25">
      <c r="A56" s="3">
        <v>207</v>
      </c>
      <c r="B56" s="2" t="s">
        <v>114</v>
      </c>
      <c r="C56" s="2" t="s">
        <v>115</v>
      </c>
      <c r="D56" s="2" t="s">
        <v>8</v>
      </c>
      <c r="E56" s="2" t="s">
        <v>27</v>
      </c>
      <c r="F56" s="4">
        <v>3</v>
      </c>
      <c r="G56" s="5">
        <f t="shared" si="0"/>
        <v>24000</v>
      </c>
      <c r="H56" s="2"/>
    </row>
    <row r="57" spans="1:8" x14ac:dyDescent="0.25">
      <c r="A57" s="3">
        <v>208</v>
      </c>
      <c r="B57" s="2" t="s">
        <v>116</v>
      </c>
      <c r="C57" s="2" t="s">
        <v>117</v>
      </c>
      <c r="D57" s="2" t="s">
        <v>8</v>
      </c>
      <c r="E57" s="2" t="s">
        <v>27</v>
      </c>
      <c r="F57" s="4">
        <v>3</v>
      </c>
      <c r="G57" s="5">
        <f t="shared" si="0"/>
        <v>24000</v>
      </c>
      <c r="H57" s="2"/>
    </row>
    <row r="58" spans="1:8" x14ac:dyDescent="0.25">
      <c r="A58" s="3">
        <v>209</v>
      </c>
      <c r="B58" s="2" t="s">
        <v>118</v>
      </c>
      <c r="C58" s="2" t="s">
        <v>119</v>
      </c>
      <c r="D58" s="2" t="s">
        <v>8</v>
      </c>
      <c r="E58" s="2" t="s">
        <v>27</v>
      </c>
      <c r="F58" s="4">
        <v>3</v>
      </c>
      <c r="G58" s="5">
        <f t="shared" si="0"/>
        <v>24000</v>
      </c>
      <c r="H58" s="2"/>
    </row>
    <row r="59" spans="1:8" x14ac:dyDescent="0.25">
      <c r="A59" s="3">
        <v>210</v>
      </c>
      <c r="B59" s="2" t="s">
        <v>120</v>
      </c>
      <c r="C59" s="2" t="s">
        <v>121</v>
      </c>
      <c r="D59" s="2" t="s">
        <v>8</v>
      </c>
      <c r="E59" s="2" t="s">
        <v>27</v>
      </c>
      <c r="F59" s="4">
        <v>3</v>
      </c>
      <c r="G59" s="5">
        <f t="shared" si="0"/>
        <v>24000</v>
      </c>
      <c r="H59" s="2"/>
    </row>
    <row r="60" spans="1:8" x14ac:dyDescent="0.25">
      <c r="A60" s="3">
        <v>211</v>
      </c>
      <c r="B60" s="2" t="s">
        <v>122</v>
      </c>
      <c r="C60" s="2" t="s">
        <v>123</v>
      </c>
      <c r="D60" s="2" t="s">
        <v>8</v>
      </c>
      <c r="E60" s="2" t="s">
        <v>27</v>
      </c>
      <c r="F60" s="4">
        <v>3</v>
      </c>
      <c r="G60" s="5">
        <f t="shared" si="0"/>
        <v>24000</v>
      </c>
      <c r="H60" s="2"/>
    </row>
    <row r="61" spans="1:8" x14ac:dyDescent="0.25">
      <c r="A61" s="3">
        <v>212</v>
      </c>
      <c r="B61" s="2" t="s">
        <v>124</v>
      </c>
      <c r="C61" s="2" t="s">
        <v>125</v>
      </c>
      <c r="D61" s="2" t="s">
        <v>8</v>
      </c>
      <c r="E61" s="2" t="s">
        <v>27</v>
      </c>
      <c r="F61" s="4">
        <v>3</v>
      </c>
      <c r="G61" s="5">
        <f t="shared" si="0"/>
        <v>24000</v>
      </c>
      <c r="H61" s="2"/>
    </row>
    <row r="62" spans="1:8" x14ac:dyDescent="0.25">
      <c r="A62" s="3">
        <v>218</v>
      </c>
      <c r="B62" s="2" t="s">
        <v>126</v>
      </c>
      <c r="C62" s="2" t="s">
        <v>127</v>
      </c>
      <c r="D62" s="2" t="s">
        <v>8</v>
      </c>
      <c r="E62" s="2" t="s">
        <v>11</v>
      </c>
      <c r="F62" s="4">
        <v>5</v>
      </c>
      <c r="G62" s="5">
        <f t="shared" si="0"/>
        <v>40000</v>
      </c>
      <c r="H62" s="2"/>
    </row>
    <row r="63" spans="1:8" x14ac:dyDescent="0.25">
      <c r="A63" s="3">
        <v>223</v>
      </c>
      <c r="B63" s="2" t="s">
        <v>128</v>
      </c>
      <c r="C63" s="2" t="s">
        <v>129</v>
      </c>
      <c r="D63" s="2" t="s">
        <v>8</v>
      </c>
      <c r="E63" s="2" t="s">
        <v>27</v>
      </c>
      <c r="F63" s="4">
        <v>3</v>
      </c>
      <c r="G63" s="5">
        <f t="shared" si="0"/>
        <v>24000</v>
      </c>
      <c r="H63" s="2"/>
    </row>
    <row r="64" spans="1:8" x14ac:dyDescent="0.25">
      <c r="A64" s="3">
        <v>224</v>
      </c>
      <c r="B64" s="2" t="s">
        <v>130</v>
      </c>
      <c r="C64" s="2" t="s">
        <v>131</v>
      </c>
      <c r="D64" s="2" t="s">
        <v>8</v>
      </c>
      <c r="E64" s="2" t="s">
        <v>27</v>
      </c>
      <c r="F64" s="4">
        <v>3</v>
      </c>
      <c r="G64" s="5">
        <f t="shared" si="0"/>
        <v>24000</v>
      </c>
      <c r="H64" s="2"/>
    </row>
    <row r="65" spans="1:8" x14ac:dyDescent="0.25">
      <c r="A65" s="6"/>
      <c r="B65" s="6" t="s">
        <v>132</v>
      </c>
      <c r="C65" s="6"/>
      <c r="D65" s="6"/>
      <c r="E65" s="6"/>
      <c r="F65" s="7">
        <f>SUM(F3:F64)</f>
        <v>264</v>
      </c>
      <c r="G65" s="8">
        <f>SUM(G3:G64)</f>
        <v>2112000</v>
      </c>
      <c r="H65" s="6"/>
    </row>
    <row r="66" spans="1:8" x14ac:dyDescent="0.25">
      <c r="A66" s="12" t="s">
        <v>133</v>
      </c>
      <c r="B66" s="13"/>
      <c r="C66" s="13"/>
      <c r="D66" s="13"/>
      <c r="E66" s="13"/>
      <c r="F66" s="13"/>
      <c r="G66" s="13"/>
      <c r="H66" s="13"/>
    </row>
    <row r="67" spans="1:8" x14ac:dyDescent="0.25">
      <c r="A67" s="3">
        <v>225</v>
      </c>
      <c r="B67" s="2" t="s">
        <v>134</v>
      </c>
      <c r="C67" s="2" t="s">
        <v>135</v>
      </c>
      <c r="D67" s="2" t="s">
        <v>133</v>
      </c>
      <c r="E67" s="2" t="s">
        <v>27</v>
      </c>
      <c r="F67" s="4">
        <v>3</v>
      </c>
      <c r="G67" s="5">
        <f t="shared" ref="G67" si="1">F67*8000</f>
        <v>24000</v>
      </c>
      <c r="H67" s="2"/>
    </row>
    <row r="68" spans="1:8" x14ac:dyDescent="0.25">
      <c r="A68" s="6"/>
      <c r="B68" s="6" t="s">
        <v>136</v>
      </c>
      <c r="C68" s="6"/>
      <c r="D68" s="6"/>
      <c r="E68" s="6"/>
      <c r="F68" s="7">
        <f>SUM(F67)</f>
        <v>3</v>
      </c>
      <c r="G68" s="8">
        <f>SUM(G67)</f>
        <v>24000</v>
      </c>
      <c r="H68" s="6"/>
    </row>
    <row r="69" spans="1:8" x14ac:dyDescent="0.25">
      <c r="A69" s="12" t="s">
        <v>137</v>
      </c>
      <c r="B69" s="13"/>
      <c r="C69" s="13"/>
      <c r="D69" s="13"/>
      <c r="E69" s="13"/>
      <c r="F69" s="13"/>
      <c r="G69" s="13"/>
      <c r="H69" s="13"/>
    </row>
    <row r="70" spans="1:8" x14ac:dyDescent="0.25">
      <c r="A70" s="3">
        <v>8</v>
      </c>
      <c r="B70" s="2" t="s">
        <v>138</v>
      </c>
      <c r="C70" s="2" t="s">
        <v>139</v>
      </c>
      <c r="D70" s="2" t="s">
        <v>137</v>
      </c>
      <c r="E70" s="2" t="s">
        <v>11</v>
      </c>
      <c r="F70" s="4">
        <v>5</v>
      </c>
      <c r="G70" s="5">
        <f t="shared" ref="G70:G104" si="2">F70*8000</f>
        <v>40000</v>
      </c>
      <c r="H70" s="2"/>
    </row>
    <row r="71" spans="1:8" x14ac:dyDescent="0.25">
      <c r="A71" s="3">
        <v>10</v>
      </c>
      <c r="B71" s="2" t="s">
        <v>140</v>
      </c>
      <c r="C71" s="2" t="s">
        <v>141</v>
      </c>
      <c r="D71" s="2" t="s">
        <v>137</v>
      </c>
      <c r="E71" s="2" t="s">
        <v>11</v>
      </c>
      <c r="F71" s="4">
        <v>5</v>
      </c>
      <c r="G71" s="5">
        <f t="shared" si="2"/>
        <v>40000</v>
      </c>
      <c r="H71" s="2"/>
    </row>
    <row r="72" spans="1:8" x14ac:dyDescent="0.25">
      <c r="A72" s="3">
        <v>11</v>
      </c>
      <c r="B72" s="2" t="s">
        <v>142</v>
      </c>
      <c r="C72" s="2" t="s">
        <v>143</v>
      </c>
      <c r="D72" s="2" t="s">
        <v>137</v>
      </c>
      <c r="E72" s="2" t="s">
        <v>11</v>
      </c>
      <c r="F72" s="4">
        <v>5</v>
      </c>
      <c r="G72" s="5">
        <f t="shared" si="2"/>
        <v>40000</v>
      </c>
      <c r="H72" s="2"/>
    </row>
    <row r="73" spans="1:8" x14ac:dyDescent="0.25">
      <c r="A73" s="3">
        <v>12</v>
      </c>
      <c r="B73" s="2" t="s">
        <v>144</v>
      </c>
      <c r="C73" s="2" t="s">
        <v>145</v>
      </c>
      <c r="D73" s="2" t="s">
        <v>137</v>
      </c>
      <c r="E73" s="2" t="s">
        <v>11</v>
      </c>
      <c r="F73" s="4">
        <v>5</v>
      </c>
      <c r="G73" s="5">
        <f t="shared" si="2"/>
        <v>40000</v>
      </c>
      <c r="H73" s="2"/>
    </row>
    <row r="74" spans="1:8" x14ac:dyDescent="0.25">
      <c r="A74" s="3">
        <v>13</v>
      </c>
      <c r="B74" s="2" t="s">
        <v>146</v>
      </c>
      <c r="C74" s="2" t="s">
        <v>147</v>
      </c>
      <c r="D74" s="2" t="s">
        <v>137</v>
      </c>
      <c r="E74" s="2" t="s">
        <v>11</v>
      </c>
      <c r="F74" s="4">
        <v>5</v>
      </c>
      <c r="G74" s="5">
        <f t="shared" si="2"/>
        <v>40000</v>
      </c>
      <c r="H74" s="2"/>
    </row>
    <row r="75" spans="1:8" x14ac:dyDescent="0.25">
      <c r="A75" s="3">
        <v>14</v>
      </c>
      <c r="B75" s="2" t="s">
        <v>148</v>
      </c>
      <c r="C75" s="2" t="s">
        <v>149</v>
      </c>
      <c r="D75" s="2" t="s">
        <v>137</v>
      </c>
      <c r="E75" s="2" t="s">
        <v>11</v>
      </c>
      <c r="F75" s="4">
        <v>5</v>
      </c>
      <c r="G75" s="5">
        <f t="shared" si="2"/>
        <v>40000</v>
      </c>
      <c r="H75" s="2"/>
    </row>
    <row r="76" spans="1:8" x14ac:dyDescent="0.25">
      <c r="A76" s="3">
        <v>15</v>
      </c>
      <c r="B76" s="2" t="s">
        <v>150</v>
      </c>
      <c r="C76" s="2" t="s">
        <v>151</v>
      </c>
      <c r="D76" s="2" t="s">
        <v>137</v>
      </c>
      <c r="E76" s="2" t="s">
        <v>11</v>
      </c>
      <c r="F76" s="4">
        <v>5</v>
      </c>
      <c r="G76" s="5">
        <f t="shared" si="2"/>
        <v>40000</v>
      </c>
      <c r="H76" s="2"/>
    </row>
    <row r="77" spans="1:8" x14ac:dyDescent="0.25">
      <c r="A77" s="3">
        <v>22</v>
      </c>
      <c r="B77" s="2" t="s">
        <v>152</v>
      </c>
      <c r="C77" s="2" t="s">
        <v>153</v>
      </c>
      <c r="D77" s="2" t="s">
        <v>137</v>
      </c>
      <c r="E77" s="2" t="s">
        <v>11</v>
      </c>
      <c r="F77" s="4">
        <v>5</v>
      </c>
      <c r="G77" s="5">
        <f t="shared" si="2"/>
        <v>40000</v>
      </c>
      <c r="H77" s="2"/>
    </row>
    <row r="78" spans="1:8" x14ac:dyDescent="0.25">
      <c r="A78" s="3">
        <v>23</v>
      </c>
      <c r="B78" s="2" t="s">
        <v>154</v>
      </c>
      <c r="C78" s="2" t="s">
        <v>155</v>
      </c>
      <c r="D78" s="2" t="s">
        <v>137</v>
      </c>
      <c r="E78" s="2" t="s">
        <v>11</v>
      </c>
      <c r="F78" s="4">
        <v>5</v>
      </c>
      <c r="G78" s="5">
        <f t="shared" si="2"/>
        <v>40000</v>
      </c>
      <c r="H78" s="2"/>
    </row>
    <row r="79" spans="1:8" x14ac:dyDescent="0.25">
      <c r="A79" s="3">
        <v>24</v>
      </c>
      <c r="B79" s="2" t="s">
        <v>156</v>
      </c>
      <c r="C79" s="2" t="s">
        <v>157</v>
      </c>
      <c r="D79" s="2" t="s">
        <v>137</v>
      </c>
      <c r="E79" s="2" t="s">
        <v>11</v>
      </c>
      <c r="F79" s="4">
        <v>5</v>
      </c>
      <c r="G79" s="5">
        <f t="shared" si="2"/>
        <v>40000</v>
      </c>
      <c r="H79" s="2"/>
    </row>
    <row r="80" spans="1:8" x14ac:dyDescent="0.25">
      <c r="A80" s="3">
        <v>25</v>
      </c>
      <c r="B80" s="2" t="s">
        <v>158</v>
      </c>
      <c r="C80" s="2" t="s">
        <v>159</v>
      </c>
      <c r="D80" s="2" t="s">
        <v>137</v>
      </c>
      <c r="E80" s="2" t="s">
        <v>11</v>
      </c>
      <c r="F80" s="4">
        <v>5</v>
      </c>
      <c r="G80" s="5">
        <f t="shared" si="2"/>
        <v>40000</v>
      </c>
      <c r="H80" s="2"/>
    </row>
    <row r="81" spans="1:8" x14ac:dyDescent="0.25">
      <c r="A81" s="3">
        <v>67</v>
      </c>
      <c r="B81" s="2" t="s">
        <v>160</v>
      </c>
      <c r="C81" s="2" t="s">
        <v>161</v>
      </c>
      <c r="D81" s="2" t="s">
        <v>137</v>
      </c>
      <c r="E81" s="2" t="s">
        <v>11</v>
      </c>
      <c r="F81" s="4">
        <v>5</v>
      </c>
      <c r="G81" s="5">
        <f t="shared" si="2"/>
        <v>40000</v>
      </c>
      <c r="H81" s="2"/>
    </row>
    <row r="82" spans="1:8" x14ac:dyDescent="0.25">
      <c r="A82" s="3">
        <v>73</v>
      </c>
      <c r="B82" s="2" t="s">
        <v>162</v>
      </c>
      <c r="C82" s="2" t="s">
        <v>163</v>
      </c>
      <c r="D82" s="2" t="s">
        <v>137</v>
      </c>
      <c r="E82" s="2" t="s">
        <v>11</v>
      </c>
      <c r="F82" s="4">
        <v>5</v>
      </c>
      <c r="G82" s="5">
        <f t="shared" si="2"/>
        <v>40000</v>
      </c>
      <c r="H82" s="2"/>
    </row>
    <row r="83" spans="1:8" x14ac:dyDescent="0.25">
      <c r="A83" s="3">
        <v>75</v>
      </c>
      <c r="B83" s="2" t="s">
        <v>164</v>
      </c>
      <c r="C83" s="2" t="s">
        <v>165</v>
      </c>
      <c r="D83" s="2" t="s">
        <v>137</v>
      </c>
      <c r="E83" s="2" t="s">
        <v>11</v>
      </c>
      <c r="F83" s="4">
        <v>5</v>
      </c>
      <c r="G83" s="5">
        <f t="shared" si="2"/>
        <v>40000</v>
      </c>
      <c r="H83" s="2"/>
    </row>
    <row r="84" spans="1:8" x14ac:dyDescent="0.25">
      <c r="A84" s="3">
        <v>76</v>
      </c>
      <c r="B84" s="2" t="s">
        <v>166</v>
      </c>
      <c r="C84" s="2" t="s">
        <v>167</v>
      </c>
      <c r="D84" s="2" t="s">
        <v>137</v>
      </c>
      <c r="E84" s="2" t="s">
        <v>11</v>
      </c>
      <c r="F84" s="4">
        <v>5</v>
      </c>
      <c r="G84" s="5">
        <f t="shared" si="2"/>
        <v>40000</v>
      </c>
      <c r="H84" s="2"/>
    </row>
    <row r="85" spans="1:8" x14ac:dyDescent="0.25">
      <c r="A85" s="3">
        <v>77</v>
      </c>
      <c r="B85" s="2" t="s">
        <v>168</v>
      </c>
      <c r="C85" s="2" t="s">
        <v>169</v>
      </c>
      <c r="D85" s="2" t="s">
        <v>137</v>
      </c>
      <c r="E85" s="2" t="s">
        <v>11</v>
      </c>
      <c r="F85" s="4">
        <v>5</v>
      </c>
      <c r="G85" s="5">
        <f t="shared" si="2"/>
        <v>40000</v>
      </c>
      <c r="H85" s="2"/>
    </row>
    <row r="86" spans="1:8" x14ac:dyDescent="0.25">
      <c r="A86" s="3">
        <v>78</v>
      </c>
      <c r="B86" s="2" t="s">
        <v>170</v>
      </c>
      <c r="C86" s="2" t="s">
        <v>171</v>
      </c>
      <c r="D86" s="2" t="s">
        <v>137</v>
      </c>
      <c r="E86" s="2" t="s">
        <v>27</v>
      </c>
      <c r="F86" s="4">
        <v>3</v>
      </c>
      <c r="G86" s="5">
        <f t="shared" si="2"/>
        <v>24000</v>
      </c>
      <c r="H86" s="2"/>
    </row>
    <row r="87" spans="1:8" x14ac:dyDescent="0.25">
      <c r="A87" s="3">
        <v>79</v>
      </c>
      <c r="B87" s="2" t="s">
        <v>172</v>
      </c>
      <c r="C87" s="2" t="s">
        <v>173</v>
      </c>
      <c r="D87" s="2" t="s">
        <v>137</v>
      </c>
      <c r="E87" s="2" t="s">
        <v>27</v>
      </c>
      <c r="F87" s="4">
        <v>3</v>
      </c>
      <c r="G87" s="5">
        <f t="shared" si="2"/>
        <v>24000</v>
      </c>
      <c r="H87" s="2"/>
    </row>
    <row r="88" spans="1:8" x14ac:dyDescent="0.25">
      <c r="A88" s="3">
        <v>80</v>
      </c>
      <c r="B88" s="2" t="s">
        <v>174</v>
      </c>
      <c r="C88" s="2" t="s">
        <v>175</v>
      </c>
      <c r="D88" s="2" t="s">
        <v>137</v>
      </c>
      <c r="E88" s="2" t="s">
        <v>27</v>
      </c>
      <c r="F88" s="4">
        <v>3</v>
      </c>
      <c r="G88" s="5">
        <f t="shared" si="2"/>
        <v>24000</v>
      </c>
      <c r="H88" s="2"/>
    </row>
    <row r="89" spans="1:8" x14ac:dyDescent="0.25">
      <c r="A89" s="3">
        <v>81</v>
      </c>
      <c r="B89" s="2" t="s">
        <v>176</v>
      </c>
      <c r="C89" s="2" t="s">
        <v>177</v>
      </c>
      <c r="D89" s="2" t="s">
        <v>137</v>
      </c>
      <c r="E89" s="2" t="s">
        <v>27</v>
      </c>
      <c r="F89" s="4">
        <v>3</v>
      </c>
      <c r="G89" s="5">
        <f t="shared" si="2"/>
        <v>24000</v>
      </c>
      <c r="H89" s="2"/>
    </row>
    <row r="90" spans="1:8" x14ac:dyDescent="0.25">
      <c r="A90" s="3">
        <v>82</v>
      </c>
      <c r="B90" s="2" t="s">
        <v>178</v>
      </c>
      <c r="C90" s="2" t="s">
        <v>179</v>
      </c>
      <c r="D90" s="2" t="s">
        <v>137</v>
      </c>
      <c r="E90" s="2" t="s">
        <v>11</v>
      </c>
      <c r="F90" s="4">
        <v>5</v>
      </c>
      <c r="G90" s="5">
        <f t="shared" si="2"/>
        <v>40000</v>
      </c>
      <c r="H90" s="2"/>
    </row>
    <row r="91" spans="1:8" x14ac:dyDescent="0.25">
      <c r="A91" s="3">
        <v>83</v>
      </c>
      <c r="B91" s="2" t="s">
        <v>180</v>
      </c>
      <c r="C91" s="2" t="s">
        <v>181</v>
      </c>
      <c r="D91" s="2" t="s">
        <v>137</v>
      </c>
      <c r="E91" s="2" t="s">
        <v>11</v>
      </c>
      <c r="F91" s="4">
        <v>5</v>
      </c>
      <c r="G91" s="5">
        <f t="shared" si="2"/>
        <v>40000</v>
      </c>
      <c r="H91" s="2"/>
    </row>
    <row r="92" spans="1:8" x14ac:dyDescent="0.25">
      <c r="A92" s="3">
        <v>84</v>
      </c>
      <c r="B92" s="2" t="s">
        <v>182</v>
      </c>
      <c r="C92" s="2" t="s">
        <v>183</v>
      </c>
      <c r="D92" s="2" t="s">
        <v>137</v>
      </c>
      <c r="E92" s="2" t="s">
        <v>11</v>
      </c>
      <c r="F92" s="4">
        <v>5</v>
      </c>
      <c r="G92" s="5">
        <f t="shared" si="2"/>
        <v>40000</v>
      </c>
      <c r="H92" s="2"/>
    </row>
    <row r="93" spans="1:8" x14ac:dyDescent="0.25">
      <c r="A93" s="3">
        <v>85</v>
      </c>
      <c r="B93" s="2" t="s">
        <v>184</v>
      </c>
      <c r="C93" s="2" t="s">
        <v>185</v>
      </c>
      <c r="D93" s="2" t="s">
        <v>137</v>
      </c>
      <c r="E93" s="2" t="s">
        <v>27</v>
      </c>
      <c r="F93" s="4">
        <v>3</v>
      </c>
      <c r="G93" s="5">
        <f t="shared" si="2"/>
        <v>24000</v>
      </c>
      <c r="H93" s="2"/>
    </row>
    <row r="94" spans="1:8" x14ac:dyDescent="0.25">
      <c r="A94" s="3">
        <v>86</v>
      </c>
      <c r="B94" s="2" t="s">
        <v>186</v>
      </c>
      <c r="C94" s="2" t="s">
        <v>187</v>
      </c>
      <c r="D94" s="2" t="s">
        <v>137</v>
      </c>
      <c r="E94" s="2" t="s">
        <v>11</v>
      </c>
      <c r="F94" s="4">
        <v>5</v>
      </c>
      <c r="G94" s="5">
        <f t="shared" si="2"/>
        <v>40000</v>
      </c>
      <c r="H94" s="2"/>
    </row>
    <row r="95" spans="1:8" x14ac:dyDescent="0.25">
      <c r="A95" s="3">
        <v>87</v>
      </c>
      <c r="B95" s="2" t="s">
        <v>188</v>
      </c>
      <c r="C95" s="2" t="s">
        <v>189</v>
      </c>
      <c r="D95" s="2" t="s">
        <v>137</v>
      </c>
      <c r="E95" s="2" t="s">
        <v>11</v>
      </c>
      <c r="F95" s="4">
        <v>5</v>
      </c>
      <c r="G95" s="5">
        <f t="shared" si="2"/>
        <v>40000</v>
      </c>
      <c r="H95" s="2"/>
    </row>
    <row r="96" spans="1:8" x14ac:dyDescent="0.25">
      <c r="A96" s="3">
        <v>88</v>
      </c>
      <c r="B96" s="2" t="s">
        <v>190</v>
      </c>
      <c r="C96" s="2" t="s">
        <v>191</v>
      </c>
      <c r="D96" s="2" t="s">
        <v>137</v>
      </c>
      <c r="E96" s="2" t="s">
        <v>11</v>
      </c>
      <c r="F96" s="4">
        <v>5</v>
      </c>
      <c r="G96" s="5">
        <f t="shared" si="2"/>
        <v>40000</v>
      </c>
      <c r="H96" s="2"/>
    </row>
    <row r="97" spans="1:8" x14ac:dyDescent="0.25">
      <c r="A97" s="3">
        <v>159</v>
      </c>
      <c r="B97" s="2" t="s">
        <v>192</v>
      </c>
      <c r="C97" s="2" t="s">
        <v>193</v>
      </c>
      <c r="D97" s="2" t="s">
        <v>137</v>
      </c>
      <c r="E97" s="2" t="s">
        <v>11</v>
      </c>
      <c r="F97" s="4">
        <v>5</v>
      </c>
      <c r="G97" s="5">
        <f t="shared" si="2"/>
        <v>40000</v>
      </c>
      <c r="H97" s="2"/>
    </row>
    <row r="98" spans="1:8" x14ac:dyDescent="0.25">
      <c r="A98" s="3">
        <v>160</v>
      </c>
      <c r="B98" s="2" t="s">
        <v>194</v>
      </c>
      <c r="C98" s="2" t="s">
        <v>195</v>
      </c>
      <c r="D98" s="2" t="s">
        <v>137</v>
      </c>
      <c r="E98" s="2" t="s">
        <v>11</v>
      </c>
      <c r="F98" s="4">
        <v>5</v>
      </c>
      <c r="G98" s="5">
        <f t="shared" si="2"/>
        <v>40000</v>
      </c>
      <c r="H98" s="2"/>
    </row>
    <row r="99" spans="1:8" x14ac:dyDescent="0.25">
      <c r="A99" s="3">
        <v>161</v>
      </c>
      <c r="B99" s="2" t="s">
        <v>196</v>
      </c>
      <c r="C99" s="2" t="s">
        <v>197</v>
      </c>
      <c r="D99" s="2" t="s">
        <v>137</v>
      </c>
      <c r="E99" s="2" t="s">
        <v>11</v>
      </c>
      <c r="F99" s="4">
        <v>5</v>
      </c>
      <c r="G99" s="5">
        <f t="shared" si="2"/>
        <v>40000</v>
      </c>
      <c r="H99" s="2"/>
    </row>
    <row r="100" spans="1:8" x14ac:dyDescent="0.25">
      <c r="A100" s="3">
        <v>163</v>
      </c>
      <c r="B100" s="2" t="s">
        <v>198</v>
      </c>
      <c r="C100" s="2" t="s">
        <v>199</v>
      </c>
      <c r="D100" s="2" t="s">
        <v>137</v>
      </c>
      <c r="E100" s="2" t="s">
        <v>27</v>
      </c>
      <c r="F100" s="4">
        <v>3</v>
      </c>
      <c r="G100" s="5">
        <f t="shared" si="2"/>
        <v>24000</v>
      </c>
      <c r="H100" s="2"/>
    </row>
    <row r="101" spans="1:8" x14ac:dyDescent="0.25">
      <c r="A101" s="3">
        <v>164</v>
      </c>
      <c r="B101" s="2" t="s">
        <v>200</v>
      </c>
      <c r="C101" s="2" t="s">
        <v>201</v>
      </c>
      <c r="D101" s="2" t="s">
        <v>137</v>
      </c>
      <c r="E101" s="2" t="s">
        <v>27</v>
      </c>
      <c r="F101" s="4">
        <v>3</v>
      </c>
      <c r="G101" s="5">
        <f t="shared" si="2"/>
        <v>24000</v>
      </c>
      <c r="H101" s="2"/>
    </row>
    <row r="102" spans="1:8" x14ac:dyDescent="0.25">
      <c r="A102" s="3">
        <v>165</v>
      </c>
      <c r="B102" s="2" t="s">
        <v>202</v>
      </c>
      <c r="C102" s="2" t="s">
        <v>203</v>
      </c>
      <c r="D102" s="2" t="s">
        <v>137</v>
      </c>
      <c r="E102" s="2" t="s">
        <v>27</v>
      </c>
      <c r="F102" s="4">
        <v>3</v>
      </c>
      <c r="G102" s="5">
        <f t="shared" si="2"/>
        <v>24000</v>
      </c>
      <c r="H102" s="2"/>
    </row>
    <row r="103" spans="1:8" x14ac:dyDescent="0.25">
      <c r="A103" s="3">
        <v>180</v>
      </c>
      <c r="B103" s="2" t="s">
        <v>204</v>
      </c>
      <c r="C103" s="2" t="s">
        <v>205</v>
      </c>
      <c r="D103" s="2" t="s">
        <v>137</v>
      </c>
      <c r="E103" s="2" t="s">
        <v>11</v>
      </c>
      <c r="F103" s="4">
        <v>5</v>
      </c>
      <c r="G103" s="5">
        <f t="shared" si="2"/>
        <v>40000</v>
      </c>
      <c r="H103" s="2"/>
    </row>
    <row r="104" spans="1:8" x14ac:dyDescent="0.25">
      <c r="A104" s="3">
        <v>191</v>
      </c>
      <c r="B104" s="2" t="s">
        <v>206</v>
      </c>
      <c r="C104" s="2" t="s">
        <v>207</v>
      </c>
      <c r="D104" s="2" t="s">
        <v>137</v>
      </c>
      <c r="E104" s="2" t="s">
        <v>11</v>
      </c>
      <c r="F104" s="4">
        <v>5</v>
      </c>
      <c r="G104" s="5">
        <f t="shared" si="2"/>
        <v>40000</v>
      </c>
      <c r="H104" s="2"/>
    </row>
    <row r="105" spans="1:8" x14ac:dyDescent="0.25">
      <c r="A105" s="6"/>
      <c r="B105" s="6" t="s">
        <v>208</v>
      </c>
      <c r="C105" s="6"/>
      <c r="D105" s="6"/>
      <c r="E105" s="6"/>
      <c r="F105" s="7">
        <f>SUM(F70:F104)</f>
        <v>159</v>
      </c>
      <c r="G105" s="8">
        <f>SUM(G70:G104)</f>
        <v>1272000</v>
      </c>
      <c r="H105" s="6"/>
    </row>
    <row r="106" spans="1:8" x14ac:dyDescent="0.25">
      <c r="A106" s="12" t="s">
        <v>209</v>
      </c>
      <c r="B106" s="13"/>
      <c r="C106" s="13"/>
      <c r="D106" s="13"/>
      <c r="E106" s="13"/>
      <c r="F106" s="13"/>
      <c r="G106" s="13"/>
      <c r="H106" s="13"/>
    </row>
    <row r="107" spans="1:8" x14ac:dyDescent="0.25">
      <c r="A107" s="3">
        <v>134</v>
      </c>
      <c r="B107" s="2" t="s">
        <v>210</v>
      </c>
      <c r="C107" s="2" t="s">
        <v>211</v>
      </c>
      <c r="D107" s="2" t="s">
        <v>209</v>
      </c>
      <c r="E107" s="2" t="s">
        <v>11</v>
      </c>
      <c r="F107" s="4">
        <v>5</v>
      </c>
      <c r="G107" s="5">
        <f t="shared" ref="G107:G110" si="3">F107*8000</f>
        <v>40000</v>
      </c>
      <c r="H107" s="2"/>
    </row>
    <row r="108" spans="1:8" x14ac:dyDescent="0.25">
      <c r="A108" s="3">
        <v>220</v>
      </c>
      <c r="B108" s="2" t="s">
        <v>212</v>
      </c>
      <c r="C108" s="2" t="s">
        <v>213</v>
      </c>
      <c r="D108" s="2" t="s">
        <v>209</v>
      </c>
      <c r="E108" s="2" t="s">
        <v>27</v>
      </c>
      <c r="F108" s="4">
        <v>3</v>
      </c>
      <c r="G108" s="5">
        <f t="shared" si="3"/>
        <v>24000</v>
      </c>
      <c r="H108" s="2"/>
    </row>
    <row r="109" spans="1:8" x14ac:dyDescent="0.25">
      <c r="A109" s="3">
        <v>222</v>
      </c>
      <c r="B109" s="2" t="s">
        <v>214</v>
      </c>
      <c r="C109" s="2" t="s">
        <v>215</v>
      </c>
      <c r="D109" s="2" t="s">
        <v>209</v>
      </c>
      <c r="E109" s="2" t="s">
        <v>27</v>
      </c>
      <c r="F109" s="4">
        <v>3</v>
      </c>
      <c r="G109" s="5">
        <f t="shared" si="3"/>
        <v>24000</v>
      </c>
      <c r="H109" s="2"/>
    </row>
    <row r="110" spans="1:8" x14ac:dyDescent="0.25">
      <c r="A110" s="3">
        <v>227</v>
      </c>
      <c r="B110" s="2" t="s">
        <v>216</v>
      </c>
      <c r="C110" s="2" t="s">
        <v>217</v>
      </c>
      <c r="D110" s="2" t="s">
        <v>209</v>
      </c>
      <c r="E110" s="2" t="s">
        <v>27</v>
      </c>
      <c r="F110" s="4">
        <v>3</v>
      </c>
      <c r="G110" s="5">
        <f t="shared" si="3"/>
        <v>24000</v>
      </c>
      <c r="H110" s="2"/>
    </row>
    <row r="111" spans="1:8" x14ac:dyDescent="0.25">
      <c r="A111" s="6"/>
      <c r="B111" s="6" t="s">
        <v>218</v>
      </c>
      <c r="C111" s="6"/>
      <c r="D111" s="6"/>
      <c r="E111" s="6"/>
      <c r="F111" s="7">
        <f>SUM(F107:F110)</f>
        <v>14</v>
      </c>
      <c r="G111" s="8">
        <f>SUM(G107:G110)</f>
        <v>112000</v>
      </c>
      <c r="H111" s="6"/>
    </row>
    <row r="112" spans="1:8" x14ac:dyDescent="0.25">
      <c r="A112" s="12" t="s">
        <v>219</v>
      </c>
      <c r="B112" s="13"/>
      <c r="C112" s="13"/>
      <c r="D112" s="13"/>
      <c r="E112" s="13"/>
      <c r="F112" s="13"/>
      <c r="G112" s="13"/>
      <c r="H112" s="13"/>
    </row>
    <row r="113" spans="1:8" x14ac:dyDescent="0.25">
      <c r="A113" s="3">
        <v>16</v>
      </c>
      <c r="B113" s="2" t="s">
        <v>220</v>
      </c>
      <c r="C113" s="2" t="s">
        <v>221</v>
      </c>
      <c r="D113" s="2" t="s">
        <v>219</v>
      </c>
      <c r="E113" s="2" t="s">
        <v>11</v>
      </c>
      <c r="F113" s="4">
        <v>5</v>
      </c>
      <c r="G113" s="5">
        <f t="shared" ref="G113:G118" si="4">F113*8000</f>
        <v>40000</v>
      </c>
      <c r="H113" s="2"/>
    </row>
    <row r="114" spans="1:8" x14ac:dyDescent="0.25">
      <c r="A114" s="3">
        <v>17</v>
      </c>
      <c r="B114" s="2" t="s">
        <v>222</v>
      </c>
      <c r="C114" s="2" t="s">
        <v>223</v>
      </c>
      <c r="D114" s="2" t="s">
        <v>219</v>
      </c>
      <c r="E114" s="2" t="s">
        <v>11</v>
      </c>
      <c r="F114" s="4">
        <v>5</v>
      </c>
      <c r="G114" s="5">
        <f t="shared" si="4"/>
        <v>40000</v>
      </c>
      <c r="H114" s="2"/>
    </row>
    <row r="115" spans="1:8" x14ac:dyDescent="0.25">
      <c r="A115" s="3">
        <v>18</v>
      </c>
      <c r="B115" s="2" t="s">
        <v>224</v>
      </c>
      <c r="C115" s="2" t="s">
        <v>225</v>
      </c>
      <c r="D115" s="2" t="s">
        <v>219</v>
      </c>
      <c r="E115" s="2" t="s">
        <v>11</v>
      </c>
      <c r="F115" s="4">
        <v>5</v>
      </c>
      <c r="G115" s="5">
        <f t="shared" si="4"/>
        <v>40000</v>
      </c>
      <c r="H115" s="2"/>
    </row>
    <row r="116" spans="1:8" x14ac:dyDescent="0.25">
      <c r="A116" s="3">
        <v>19</v>
      </c>
      <c r="B116" s="2" t="s">
        <v>226</v>
      </c>
      <c r="C116" s="2" t="s">
        <v>227</v>
      </c>
      <c r="D116" s="2" t="s">
        <v>219</v>
      </c>
      <c r="E116" s="2" t="s">
        <v>11</v>
      </c>
      <c r="F116" s="4">
        <v>5</v>
      </c>
      <c r="G116" s="5">
        <f t="shared" si="4"/>
        <v>40000</v>
      </c>
      <c r="H116" s="2"/>
    </row>
    <row r="117" spans="1:8" x14ac:dyDescent="0.25">
      <c r="A117" s="3">
        <v>20</v>
      </c>
      <c r="B117" s="2" t="s">
        <v>228</v>
      </c>
      <c r="C117" s="2" t="s">
        <v>229</v>
      </c>
      <c r="D117" s="2" t="s">
        <v>219</v>
      </c>
      <c r="E117" s="2" t="s">
        <v>27</v>
      </c>
      <c r="F117" s="4">
        <v>3</v>
      </c>
      <c r="G117" s="5">
        <f t="shared" si="4"/>
        <v>24000</v>
      </c>
      <c r="H117" s="2"/>
    </row>
    <row r="118" spans="1:8" x14ac:dyDescent="0.25">
      <c r="A118" s="3">
        <v>21</v>
      </c>
      <c r="B118" s="2" t="s">
        <v>230</v>
      </c>
      <c r="C118" s="2" t="s">
        <v>231</v>
      </c>
      <c r="D118" s="2" t="s">
        <v>219</v>
      </c>
      <c r="E118" s="2" t="s">
        <v>11</v>
      </c>
      <c r="F118" s="4">
        <v>5</v>
      </c>
      <c r="G118" s="5">
        <f t="shared" si="4"/>
        <v>40000</v>
      </c>
      <c r="H118" s="2"/>
    </row>
    <row r="119" spans="1:8" x14ac:dyDescent="0.25">
      <c r="A119" s="6"/>
      <c r="B119" s="6" t="s">
        <v>232</v>
      </c>
      <c r="C119" s="6"/>
      <c r="D119" s="6"/>
      <c r="E119" s="6"/>
      <c r="F119" s="7">
        <f>SUM(F113:F118)</f>
        <v>28</v>
      </c>
      <c r="G119" s="8">
        <f>SUM(G113:G118)</f>
        <v>224000</v>
      </c>
      <c r="H119" s="6"/>
    </row>
    <row r="120" spans="1:8" x14ac:dyDescent="0.25">
      <c r="A120" s="12" t="s">
        <v>233</v>
      </c>
      <c r="B120" s="13"/>
      <c r="C120" s="13"/>
      <c r="D120" s="13"/>
      <c r="E120" s="13"/>
      <c r="F120" s="13"/>
      <c r="G120" s="13"/>
      <c r="H120" s="13"/>
    </row>
    <row r="121" spans="1:8" x14ac:dyDescent="0.25">
      <c r="A121" s="3">
        <v>68</v>
      </c>
      <c r="B121" s="2" t="s">
        <v>234</v>
      </c>
      <c r="C121" s="2" t="s">
        <v>235</v>
      </c>
      <c r="D121" s="2" t="s">
        <v>233</v>
      </c>
      <c r="E121" s="2" t="s">
        <v>11</v>
      </c>
      <c r="F121" s="4">
        <v>5</v>
      </c>
      <c r="G121" s="5">
        <f t="shared" ref="G121:G137" si="5">F121*8000</f>
        <v>40000</v>
      </c>
      <c r="H121" s="2"/>
    </row>
    <row r="122" spans="1:8" x14ac:dyDescent="0.25">
      <c r="A122" s="3">
        <v>112</v>
      </c>
      <c r="B122" s="2" t="s">
        <v>236</v>
      </c>
      <c r="C122" s="2" t="s">
        <v>237</v>
      </c>
      <c r="D122" s="2" t="s">
        <v>233</v>
      </c>
      <c r="E122" s="2" t="s">
        <v>27</v>
      </c>
      <c r="F122" s="4">
        <v>3</v>
      </c>
      <c r="G122" s="5">
        <f t="shared" si="5"/>
        <v>24000</v>
      </c>
      <c r="H122" s="2"/>
    </row>
    <row r="123" spans="1:8" x14ac:dyDescent="0.25">
      <c r="A123" s="3">
        <v>113</v>
      </c>
      <c r="B123" s="2" t="s">
        <v>238</v>
      </c>
      <c r="C123" s="2" t="s">
        <v>239</v>
      </c>
      <c r="D123" s="2" t="s">
        <v>233</v>
      </c>
      <c r="E123" s="2" t="s">
        <v>27</v>
      </c>
      <c r="F123" s="4">
        <v>3</v>
      </c>
      <c r="G123" s="5">
        <f t="shared" si="5"/>
        <v>24000</v>
      </c>
      <c r="H123" s="2"/>
    </row>
    <row r="124" spans="1:8" x14ac:dyDescent="0.25">
      <c r="A124" s="3">
        <v>117</v>
      </c>
      <c r="B124" s="2" t="s">
        <v>240</v>
      </c>
      <c r="C124" s="2" t="s">
        <v>241</v>
      </c>
      <c r="D124" s="2" t="s">
        <v>233</v>
      </c>
      <c r="E124" s="2" t="s">
        <v>27</v>
      </c>
      <c r="F124" s="4">
        <v>3</v>
      </c>
      <c r="G124" s="5">
        <f t="shared" si="5"/>
        <v>24000</v>
      </c>
      <c r="H124" s="2"/>
    </row>
    <row r="125" spans="1:8" x14ac:dyDescent="0.25">
      <c r="A125" s="3">
        <v>118</v>
      </c>
      <c r="B125" s="2" t="s">
        <v>242</v>
      </c>
      <c r="C125" s="2" t="s">
        <v>243</v>
      </c>
      <c r="D125" s="2" t="s">
        <v>233</v>
      </c>
      <c r="E125" s="2" t="s">
        <v>11</v>
      </c>
      <c r="F125" s="4">
        <v>5</v>
      </c>
      <c r="G125" s="5">
        <f t="shared" si="5"/>
        <v>40000</v>
      </c>
      <c r="H125" s="2"/>
    </row>
    <row r="126" spans="1:8" x14ac:dyDescent="0.25">
      <c r="A126" s="3">
        <v>119</v>
      </c>
      <c r="B126" s="2" t="s">
        <v>244</v>
      </c>
      <c r="C126" s="2" t="s">
        <v>245</v>
      </c>
      <c r="D126" s="2" t="s">
        <v>233</v>
      </c>
      <c r="E126" s="2" t="s">
        <v>11</v>
      </c>
      <c r="F126" s="4">
        <v>5</v>
      </c>
      <c r="G126" s="5">
        <f t="shared" si="5"/>
        <v>40000</v>
      </c>
      <c r="H126" s="2"/>
    </row>
    <row r="127" spans="1:8" x14ac:dyDescent="0.25">
      <c r="A127" s="3">
        <v>122</v>
      </c>
      <c r="B127" s="2" t="s">
        <v>246</v>
      </c>
      <c r="C127" s="2" t="s">
        <v>247</v>
      </c>
      <c r="D127" s="2" t="s">
        <v>233</v>
      </c>
      <c r="E127" s="2" t="s">
        <v>11</v>
      </c>
      <c r="F127" s="4">
        <v>5</v>
      </c>
      <c r="G127" s="5">
        <f t="shared" si="5"/>
        <v>40000</v>
      </c>
      <c r="H127" s="2"/>
    </row>
    <row r="128" spans="1:8" x14ac:dyDescent="0.25">
      <c r="A128" s="3">
        <v>123</v>
      </c>
      <c r="B128" s="2" t="s">
        <v>248</v>
      </c>
      <c r="C128" s="2" t="s">
        <v>249</v>
      </c>
      <c r="D128" s="2" t="s">
        <v>233</v>
      </c>
      <c r="E128" s="2" t="s">
        <v>27</v>
      </c>
      <c r="F128" s="4">
        <v>3</v>
      </c>
      <c r="G128" s="5">
        <f t="shared" si="5"/>
        <v>24000</v>
      </c>
      <c r="H128" s="2"/>
    </row>
    <row r="129" spans="1:8" x14ac:dyDescent="0.25">
      <c r="A129" s="3">
        <v>124</v>
      </c>
      <c r="B129" s="2" t="s">
        <v>250</v>
      </c>
      <c r="C129" s="2" t="s">
        <v>251</v>
      </c>
      <c r="D129" s="2" t="s">
        <v>233</v>
      </c>
      <c r="E129" s="2" t="s">
        <v>11</v>
      </c>
      <c r="F129" s="4">
        <v>5</v>
      </c>
      <c r="G129" s="5">
        <f t="shared" si="5"/>
        <v>40000</v>
      </c>
      <c r="H129" s="2"/>
    </row>
    <row r="130" spans="1:8" x14ac:dyDescent="0.25">
      <c r="A130" s="3">
        <v>125</v>
      </c>
      <c r="B130" s="2" t="s">
        <v>252</v>
      </c>
      <c r="C130" s="2" t="s">
        <v>253</v>
      </c>
      <c r="D130" s="2" t="s">
        <v>233</v>
      </c>
      <c r="E130" s="2" t="s">
        <v>11</v>
      </c>
      <c r="F130" s="4">
        <v>5</v>
      </c>
      <c r="G130" s="5">
        <f t="shared" si="5"/>
        <v>40000</v>
      </c>
      <c r="H130" s="2"/>
    </row>
    <row r="131" spans="1:8" x14ac:dyDescent="0.25">
      <c r="A131" s="3">
        <v>126</v>
      </c>
      <c r="B131" s="2" t="s">
        <v>254</v>
      </c>
      <c r="C131" s="2" t="s">
        <v>255</v>
      </c>
      <c r="D131" s="2" t="s">
        <v>233</v>
      </c>
      <c r="E131" s="2" t="s">
        <v>11</v>
      </c>
      <c r="F131" s="4">
        <v>5</v>
      </c>
      <c r="G131" s="5">
        <f t="shared" si="5"/>
        <v>40000</v>
      </c>
      <c r="H131" s="2"/>
    </row>
    <row r="132" spans="1:8" x14ac:dyDescent="0.25">
      <c r="A132" s="3">
        <v>127</v>
      </c>
      <c r="B132" s="2" t="s">
        <v>256</v>
      </c>
      <c r="C132" s="2" t="s">
        <v>257</v>
      </c>
      <c r="D132" s="2" t="s">
        <v>233</v>
      </c>
      <c r="E132" s="2" t="s">
        <v>11</v>
      </c>
      <c r="F132" s="4">
        <v>5</v>
      </c>
      <c r="G132" s="5">
        <f t="shared" si="5"/>
        <v>40000</v>
      </c>
      <c r="H132" s="2"/>
    </row>
    <row r="133" spans="1:8" x14ac:dyDescent="0.25">
      <c r="A133" s="3">
        <v>128</v>
      </c>
      <c r="B133" s="2" t="s">
        <v>258</v>
      </c>
      <c r="C133" s="2" t="s">
        <v>259</v>
      </c>
      <c r="D133" s="2" t="s">
        <v>233</v>
      </c>
      <c r="E133" s="2" t="s">
        <v>11</v>
      </c>
      <c r="F133" s="4">
        <v>5</v>
      </c>
      <c r="G133" s="5">
        <f t="shared" si="5"/>
        <v>40000</v>
      </c>
      <c r="H133" s="2"/>
    </row>
    <row r="134" spans="1:8" x14ac:dyDescent="0.25">
      <c r="A134" s="3">
        <v>129</v>
      </c>
      <c r="B134" s="2" t="s">
        <v>260</v>
      </c>
      <c r="C134" s="2" t="s">
        <v>261</v>
      </c>
      <c r="D134" s="2" t="s">
        <v>233</v>
      </c>
      <c r="E134" s="2" t="s">
        <v>14</v>
      </c>
      <c r="F134" s="4">
        <v>10</v>
      </c>
      <c r="G134" s="5">
        <f t="shared" si="5"/>
        <v>80000</v>
      </c>
      <c r="H134" s="2"/>
    </row>
    <row r="135" spans="1:8" x14ac:dyDescent="0.25">
      <c r="A135" s="3">
        <v>130</v>
      </c>
      <c r="B135" s="2" t="s">
        <v>262</v>
      </c>
      <c r="C135" s="2" t="s">
        <v>263</v>
      </c>
      <c r="D135" s="2" t="s">
        <v>233</v>
      </c>
      <c r="E135" s="2" t="s">
        <v>14</v>
      </c>
      <c r="F135" s="4">
        <v>10</v>
      </c>
      <c r="G135" s="5">
        <f t="shared" si="5"/>
        <v>80000</v>
      </c>
      <c r="H135" s="2"/>
    </row>
    <row r="136" spans="1:8" x14ac:dyDescent="0.25">
      <c r="A136" s="3">
        <v>133</v>
      </c>
      <c r="B136" s="2" t="s">
        <v>264</v>
      </c>
      <c r="C136" s="2" t="s">
        <v>265</v>
      </c>
      <c r="D136" s="2" t="s">
        <v>233</v>
      </c>
      <c r="E136" s="2" t="s">
        <v>11</v>
      </c>
      <c r="F136" s="4">
        <v>5</v>
      </c>
      <c r="G136" s="5">
        <f t="shared" si="5"/>
        <v>40000</v>
      </c>
      <c r="H136" s="2"/>
    </row>
    <row r="137" spans="1:8" x14ac:dyDescent="0.25">
      <c r="A137" s="3">
        <v>136</v>
      </c>
      <c r="B137" s="2" t="s">
        <v>266</v>
      </c>
      <c r="C137" s="2" t="s">
        <v>267</v>
      </c>
      <c r="D137" s="2" t="s">
        <v>233</v>
      </c>
      <c r="E137" s="2" t="s">
        <v>27</v>
      </c>
      <c r="F137" s="4">
        <v>3</v>
      </c>
      <c r="G137" s="5">
        <f t="shared" si="5"/>
        <v>24000</v>
      </c>
      <c r="H137" s="2"/>
    </row>
    <row r="138" spans="1:8" x14ac:dyDescent="0.25">
      <c r="A138" s="6"/>
      <c r="B138" s="6" t="s">
        <v>268</v>
      </c>
      <c r="C138" s="6"/>
      <c r="D138" s="6"/>
      <c r="E138" s="6"/>
      <c r="F138" s="7">
        <f>SUM(F121:F137)</f>
        <v>85</v>
      </c>
      <c r="G138" s="8">
        <f>SUM(G121:G137)</f>
        <v>680000</v>
      </c>
      <c r="H138" s="6"/>
    </row>
    <row r="139" spans="1:8" x14ac:dyDescent="0.25">
      <c r="A139" s="12" t="s">
        <v>269</v>
      </c>
      <c r="B139" s="13"/>
      <c r="C139" s="13"/>
      <c r="D139" s="13"/>
      <c r="E139" s="13"/>
      <c r="F139" s="13"/>
      <c r="G139" s="13"/>
      <c r="H139" s="13"/>
    </row>
    <row r="140" spans="1:8" x14ac:dyDescent="0.25">
      <c r="A140" s="3">
        <v>47</v>
      </c>
      <c r="B140" s="2" t="s">
        <v>270</v>
      </c>
      <c r="C140" s="2" t="s">
        <v>271</v>
      </c>
      <c r="D140" s="2" t="s">
        <v>269</v>
      </c>
      <c r="E140" s="2" t="s">
        <v>11</v>
      </c>
      <c r="F140" s="4">
        <v>5</v>
      </c>
      <c r="G140" s="5">
        <f t="shared" ref="G140:G166" si="6">F140*8000</f>
        <v>40000</v>
      </c>
      <c r="H140" s="2"/>
    </row>
    <row r="141" spans="1:8" x14ac:dyDescent="0.25">
      <c r="A141" s="3">
        <v>48</v>
      </c>
      <c r="B141" s="2" t="s">
        <v>272</v>
      </c>
      <c r="C141" s="2" t="s">
        <v>273</v>
      </c>
      <c r="D141" s="2" t="s">
        <v>269</v>
      </c>
      <c r="E141" s="2" t="s">
        <v>27</v>
      </c>
      <c r="F141" s="4">
        <v>3</v>
      </c>
      <c r="G141" s="5">
        <f t="shared" si="6"/>
        <v>24000</v>
      </c>
      <c r="H141" s="2"/>
    </row>
    <row r="142" spans="1:8" x14ac:dyDescent="0.25">
      <c r="A142" s="3">
        <v>64</v>
      </c>
      <c r="B142" s="2" t="s">
        <v>274</v>
      </c>
      <c r="C142" s="2" t="s">
        <v>275</v>
      </c>
      <c r="D142" s="2" t="s">
        <v>269</v>
      </c>
      <c r="E142" s="2" t="s">
        <v>27</v>
      </c>
      <c r="F142" s="4">
        <v>3</v>
      </c>
      <c r="G142" s="5">
        <f t="shared" si="6"/>
        <v>24000</v>
      </c>
      <c r="H142" s="2"/>
    </row>
    <row r="143" spans="1:8" x14ac:dyDescent="0.25">
      <c r="A143" s="3">
        <v>65</v>
      </c>
      <c r="B143" s="2" t="s">
        <v>276</v>
      </c>
      <c r="C143" s="2" t="s">
        <v>277</v>
      </c>
      <c r="D143" s="2" t="s">
        <v>269</v>
      </c>
      <c r="E143" s="2" t="s">
        <v>27</v>
      </c>
      <c r="F143" s="4">
        <v>3</v>
      </c>
      <c r="G143" s="5">
        <f t="shared" si="6"/>
        <v>24000</v>
      </c>
      <c r="H143" s="2"/>
    </row>
    <row r="144" spans="1:8" x14ac:dyDescent="0.25">
      <c r="A144" s="3">
        <v>69</v>
      </c>
      <c r="B144" s="2" t="s">
        <v>278</v>
      </c>
      <c r="C144" s="2" t="s">
        <v>279</v>
      </c>
      <c r="D144" s="2" t="s">
        <v>269</v>
      </c>
      <c r="E144" s="2" t="s">
        <v>11</v>
      </c>
      <c r="F144" s="4">
        <v>5</v>
      </c>
      <c r="G144" s="5">
        <f t="shared" si="6"/>
        <v>40000</v>
      </c>
      <c r="H144" s="2"/>
    </row>
    <row r="145" spans="1:8" x14ac:dyDescent="0.25">
      <c r="A145" s="3">
        <v>70</v>
      </c>
      <c r="B145" s="2" t="s">
        <v>280</v>
      </c>
      <c r="C145" s="2" t="s">
        <v>281</v>
      </c>
      <c r="D145" s="2" t="s">
        <v>269</v>
      </c>
      <c r="E145" s="2" t="s">
        <v>11</v>
      </c>
      <c r="F145" s="4">
        <v>5</v>
      </c>
      <c r="G145" s="5">
        <f t="shared" si="6"/>
        <v>40000</v>
      </c>
      <c r="H145" s="2"/>
    </row>
    <row r="146" spans="1:8" x14ac:dyDescent="0.25">
      <c r="A146" s="3">
        <v>71</v>
      </c>
      <c r="B146" s="2" t="s">
        <v>282</v>
      </c>
      <c r="C146" s="2" t="s">
        <v>283</v>
      </c>
      <c r="D146" s="2" t="s">
        <v>269</v>
      </c>
      <c r="E146" s="2" t="s">
        <v>11</v>
      </c>
      <c r="F146" s="4">
        <v>5</v>
      </c>
      <c r="G146" s="5">
        <f t="shared" si="6"/>
        <v>40000</v>
      </c>
      <c r="H146" s="2"/>
    </row>
    <row r="147" spans="1:8" x14ac:dyDescent="0.25">
      <c r="A147" s="3">
        <v>109</v>
      </c>
      <c r="B147" s="2" t="s">
        <v>284</v>
      </c>
      <c r="C147" s="2" t="s">
        <v>285</v>
      </c>
      <c r="D147" s="2" t="s">
        <v>269</v>
      </c>
      <c r="E147" s="2" t="s">
        <v>27</v>
      </c>
      <c r="F147" s="4">
        <v>3</v>
      </c>
      <c r="G147" s="5">
        <f t="shared" si="6"/>
        <v>24000</v>
      </c>
      <c r="H147" s="2"/>
    </row>
    <row r="148" spans="1:8" x14ac:dyDescent="0.25">
      <c r="A148" s="3">
        <v>120</v>
      </c>
      <c r="B148" s="2" t="s">
        <v>286</v>
      </c>
      <c r="C148" s="2" t="s">
        <v>287</v>
      </c>
      <c r="D148" s="2" t="s">
        <v>269</v>
      </c>
      <c r="E148" s="2" t="s">
        <v>11</v>
      </c>
      <c r="F148" s="4">
        <v>5</v>
      </c>
      <c r="G148" s="5">
        <f t="shared" si="6"/>
        <v>40000</v>
      </c>
      <c r="H148" s="2"/>
    </row>
    <row r="149" spans="1:8" x14ac:dyDescent="0.25">
      <c r="A149" s="3">
        <v>121</v>
      </c>
      <c r="B149" s="2" t="s">
        <v>288</v>
      </c>
      <c r="C149" s="2" t="s">
        <v>289</v>
      </c>
      <c r="D149" s="2" t="s">
        <v>269</v>
      </c>
      <c r="E149" s="2" t="s">
        <v>27</v>
      </c>
      <c r="F149" s="4">
        <v>3</v>
      </c>
      <c r="G149" s="5">
        <f t="shared" si="6"/>
        <v>24000</v>
      </c>
      <c r="H149" s="2"/>
    </row>
    <row r="150" spans="1:8" x14ac:dyDescent="0.25">
      <c r="A150" s="3">
        <v>147</v>
      </c>
      <c r="B150" s="2" t="s">
        <v>290</v>
      </c>
      <c r="C150" s="2" t="s">
        <v>291</v>
      </c>
      <c r="D150" s="2" t="s">
        <v>269</v>
      </c>
      <c r="E150" s="2" t="s">
        <v>27</v>
      </c>
      <c r="F150" s="4">
        <v>3</v>
      </c>
      <c r="G150" s="5">
        <f t="shared" si="6"/>
        <v>24000</v>
      </c>
      <c r="H150" s="2"/>
    </row>
    <row r="151" spans="1:8" x14ac:dyDescent="0.25">
      <c r="A151" s="3">
        <v>149</v>
      </c>
      <c r="B151" s="2" t="s">
        <v>292</v>
      </c>
      <c r="C151" s="2" t="s">
        <v>293</v>
      </c>
      <c r="D151" s="2" t="s">
        <v>269</v>
      </c>
      <c r="E151" s="2" t="s">
        <v>27</v>
      </c>
      <c r="F151" s="4">
        <v>3</v>
      </c>
      <c r="G151" s="5">
        <f t="shared" si="6"/>
        <v>24000</v>
      </c>
      <c r="H151" s="2"/>
    </row>
    <row r="152" spans="1:8" x14ac:dyDescent="0.25">
      <c r="A152" s="3">
        <v>162</v>
      </c>
      <c r="B152" s="2" t="s">
        <v>294</v>
      </c>
      <c r="C152" s="2" t="s">
        <v>295</v>
      </c>
      <c r="D152" s="2" t="s">
        <v>269</v>
      </c>
      <c r="E152" s="2" t="s">
        <v>27</v>
      </c>
      <c r="F152" s="4">
        <v>3</v>
      </c>
      <c r="G152" s="5">
        <f t="shared" si="6"/>
        <v>24000</v>
      </c>
      <c r="H152" s="2"/>
    </row>
    <row r="153" spans="1:8" x14ac:dyDescent="0.25">
      <c r="A153" s="3">
        <v>179</v>
      </c>
      <c r="B153" s="2" t="s">
        <v>296</v>
      </c>
      <c r="C153" s="2" t="s">
        <v>297</v>
      </c>
      <c r="D153" s="2" t="s">
        <v>269</v>
      </c>
      <c r="E153" s="2" t="s">
        <v>27</v>
      </c>
      <c r="F153" s="4">
        <v>3</v>
      </c>
      <c r="G153" s="5">
        <f t="shared" si="6"/>
        <v>24000</v>
      </c>
      <c r="H153" s="2"/>
    </row>
    <row r="154" spans="1:8" x14ac:dyDescent="0.25">
      <c r="A154" s="3">
        <v>182</v>
      </c>
      <c r="B154" s="2" t="s">
        <v>298</v>
      </c>
      <c r="C154" s="2" t="s">
        <v>299</v>
      </c>
      <c r="D154" s="2" t="s">
        <v>269</v>
      </c>
      <c r="E154" s="2" t="s">
        <v>11</v>
      </c>
      <c r="F154" s="4">
        <v>5</v>
      </c>
      <c r="G154" s="5">
        <f t="shared" si="6"/>
        <v>40000</v>
      </c>
      <c r="H154" s="2"/>
    </row>
    <row r="155" spans="1:8" x14ac:dyDescent="0.25">
      <c r="A155" s="3">
        <v>183</v>
      </c>
      <c r="B155" s="2" t="s">
        <v>300</v>
      </c>
      <c r="C155" s="2" t="s">
        <v>301</v>
      </c>
      <c r="D155" s="2" t="s">
        <v>269</v>
      </c>
      <c r="E155" s="2" t="s">
        <v>11</v>
      </c>
      <c r="F155" s="4">
        <v>5</v>
      </c>
      <c r="G155" s="5">
        <f t="shared" si="6"/>
        <v>40000</v>
      </c>
      <c r="H155" s="2"/>
    </row>
    <row r="156" spans="1:8" x14ac:dyDescent="0.25">
      <c r="A156" s="3">
        <v>184</v>
      </c>
      <c r="B156" s="2" t="s">
        <v>302</v>
      </c>
      <c r="C156" s="2" t="s">
        <v>303</v>
      </c>
      <c r="D156" s="2" t="s">
        <v>269</v>
      </c>
      <c r="E156" s="2" t="s">
        <v>27</v>
      </c>
      <c r="F156" s="4">
        <v>3</v>
      </c>
      <c r="G156" s="5">
        <f t="shared" si="6"/>
        <v>24000</v>
      </c>
      <c r="H156" s="2"/>
    </row>
    <row r="157" spans="1:8" x14ac:dyDescent="0.25">
      <c r="A157" s="3">
        <v>185</v>
      </c>
      <c r="B157" s="2" t="s">
        <v>304</v>
      </c>
      <c r="C157" s="2" t="s">
        <v>305</v>
      </c>
      <c r="D157" s="2" t="s">
        <v>269</v>
      </c>
      <c r="E157" s="2" t="s">
        <v>27</v>
      </c>
      <c r="F157" s="4">
        <v>3</v>
      </c>
      <c r="G157" s="5">
        <f t="shared" si="6"/>
        <v>24000</v>
      </c>
      <c r="H157" s="2"/>
    </row>
    <row r="158" spans="1:8" x14ac:dyDescent="0.25">
      <c r="A158" s="3">
        <v>186</v>
      </c>
      <c r="B158" s="2" t="s">
        <v>306</v>
      </c>
      <c r="C158" s="2" t="s">
        <v>307</v>
      </c>
      <c r="D158" s="2" t="s">
        <v>269</v>
      </c>
      <c r="E158" s="2" t="s">
        <v>27</v>
      </c>
      <c r="F158" s="4">
        <v>3</v>
      </c>
      <c r="G158" s="5">
        <f t="shared" si="6"/>
        <v>24000</v>
      </c>
      <c r="H158" s="2"/>
    </row>
    <row r="159" spans="1:8" x14ac:dyDescent="0.25">
      <c r="A159" s="3">
        <v>187</v>
      </c>
      <c r="B159" s="2" t="s">
        <v>308</v>
      </c>
      <c r="C159" s="2" t="s">
        <v>309</v>
      </c>
      <c r="D159" s="2" t="s">
        <v>269</v>
      </c>
      <c r="E159" s="2" t="s">
        <v>27</v>
      </c>
      <c r="F159" s="4">
        <v>3</v>
      </c>
      <c r="G159" s="5">
        <f t="shared" si="6"/>
        <v>24000</v>
      </c>
      <c r="H159" s="2"/>
    </row>
    <row r="160" spans="1:8" x14ac:dyDescent="0.25">
      <c r="A160" s="3">
        <v>188</v>
      </c>
      <c r="B160" s="2" t="s">
        <v>310</v>
      </c>
      <c r="C160" s="2" t="s">
        <v>311</v>
      </c>
      <c r="D160" s="2" t="s">
        <v>269</v>
      </c>
      <c r="E160" s="2" t="s">
        <v>27</v>
      </c>
      <c r="F160" s="4">
        <v>3</v>
      </c>
      <c r="G160" s="5">
        <f t="shared" si="6"/>
        <v>24000</v>
      </c>
      <c r="H160" s="2"/>
    </row>
    <row r="161" spans="1:8" x14ac:dyDescent="0.25">
      <c r="A161" s="3">
        <v>189</v>
      </c>
      <c r="B161" s="2" t="s">
        <v>312</v>
      </c>
      <c r="C161" s="2" t="s">
        <v>313</v>
      </c>
      <c r="D161" s="2" t="s">
        <v>269</v>
      </c>
      <c r="E161" s="2" t="s">
        <v>27</v>
      </c>
      <c r="F161" s="4">
        <v>3</v>
      </c>
      <c r="G161" s="5">
        <f t="shared" si="6"/>
        <v>24000</v>
      </c>
      <c r="H161" s="2"/>
    </row>
    <row r="162" spans="1:8" x14ac:dyDescent="0.25">
      <c r="A162" s="3">
        <v>190</v>
      </c>
      <c r="B162" s="2" t="s">
        <v>314</v>
      </c>
      <c r="C162" s="2" t="s">
        <v>315</v>
      </c>
      <c r="D162" s="2" t="s">
        <v>269</v>
      </c>
      <c r="E162" s="2" t="s">
        <v>27</v>
      </c>
      <c r="F162" s="4">
        <v>3</v>
      </c>
      <c r="G162" s="5">
        <f t="shared" si="6"/>
        <v>24000</v>
      </c>
      <c r="H162" s="2"/>
    </row>
    <row r="163" spans="1:8" x14ac:dyDescent="0.25">
      <c r="A163" s="3">
        <v>193</v>
      </c>
      <c r="B163" s="2" t="s">
        <v>316</v>
      </c>
      <c r="C163" s="2" t="s">
        <v>317</v>
      </c>
      <c r="D163" s="2" t="s">
        <v>269</v>
      </c>
      <c r="E163" s="2" t="s">
        <v>27</v>
      </c>
      <c r="F163" s="4">
        <v>3</v>
      </c>
      <c r="G163" s="5">
        <f t="shared" si="6"/>
        <v>24000</v>
      </c>
      <c r="H163" s="2"/>
    </row>
    <row r="164" spans="1:8" x14ac:dyDescent="0.25">
      <c r="A164" s="3">
        <v>194</v>
      </c>
      <c r="B164" s="2" t="s">
        <v>318</v>
      </c>
      <c r="C164" s="2" t="s">
        <v>319</v>
      </c>
      <c r="D164" s="2" t="s">
        <v>269</v>
      </c>
      <c r="E164" s="2" t="s">
        <v>27</v>
      </c>
      <c r="F164" s="4">
        <v>3</v>
      </c>
      <c r="G164" s="5">
        <f t="shared" si="6"/>
        <v>24000</v>
      </c>
      <c r="H164" s="2"/>
    </row>
    <row r="165" spans="1:8" x14ac:dyDescent="0.25">
      <c r="A165" s="3">
        <v>195</v>
      </c>
      <c r="B165" s="2" t="s">
        <v>320</v>
      </c>
      <c r="C165" s="2" t="s">
        <v>321</v>
      </c>
      <c r="D165" s="2" t="s">
        <v>269</v>
      </c>
      <c r="E165" s="2" t="s">
        <v>11</v>
      </c>
      <c r="F165" s="4">
        <v>5</v>
      </c>
      <c r="G165" s="5">
        <f t="shared" si="6"/>
        <v>40000</v>
      </c>
      <c r="H165" s="2"/>
    </row>
    <row r="166" spans="1:8" x14ac:dyDescent="0.25">
      <c r="A166" s="3">
        <v>214</v>
      </c>
      <c r="B166" s="2" t="s">
        <v>322</v>
      </c>
      <c r="C166" s="2" t="s">
        <v>323</v>
      </c>
      <c r="D166" s="2" t="s">
        <v>269</v>
      </c>
      <c r="E166" s="2" t="s">
        <v>11</v>
      </c>
      <c r="F166" s="4">
        <v>5</v>
      </c>
      <c r="G166" s="5">
        <f t="shared" si="6"/>
        <v>40000</v>
      </c>
      <c r="H166" s="2"/>
    </row>
    <row r="167" spans="1:8" x14ac:dyDescent="0.25">
      <c r="A167" s="6"/>
      <c r="B167" s="6" t="s">
        <v>324</v>
      </c>
      <c r="C167" s="6"/>
      <c r="D167" s="6"/>
      <c r="E167" s="6"/>
      <c r="F167" s="7">
        <f>SUM(F140:F166)</f>
        <v>99</v>
      </c>
      <c r="G167" s="8">
        <f>SUM(G140:G166)</f>
        <v>792000</v>
      </c>
      <c r="H167" s="6"/>
    </row>
    <row r="168" spans="1:8" x14ac:dyDescent="0.25">
      <c r="A168" s="12" t="s">
        <v>325</v>
      </c>
      <c r="B168" s="13"/>
      <c r="C168" s="13"/>
      <c r="D168" s="13"/>
      <c r="E168" s="13"/>
      <c r="F168" s="13"/>
      <c r="G168" s="13"/>
      <c r="H168" s="13"/>
    </row>
    <row r="169" spans="1:8" x14ac:dyDescent="0.25">
      <c r="A169" s="3">
        <v>1</v>
      </c>
      <c r="B169" s="2" t="s">
        <v>326</v>
      </c>
      <c r="C169" s="2" t="s">
        <v>327</v>
      </c>
      <c r="D169" s="2" t="s">
        <v>325</v>
      </c>
      <c r="E169" s="2" t="s">
        <v>11</v>
      </c>
      <c r="F169" s="4">
        <v>5</v>
      </c>
      <c r="G169" s="5">
        <f t="shared" ref="G169:G221" si="7">F169*8000</f>
        <v>40000</v>
      </c>
      <c r="H169" s="2"/>
    </row>
    <row r="170" spans="1:8" x14ac:dyDescent="0.25">
      <c r="A170" s="3">
        <v>2</v>
      </c>
      <c r="B170" s="2" t="s">
        <v>328</v>
      </c>
      <c r="C170" s="2" t="s">
        <v>329</v>
      </c>
      <c r="D170" s="2" t="s">
        <v>325</v>
      </c>
      <c r="E170" s="2" t="s">
        <v>11</v>
      </c>
      <c r="F170" s="4">
        <v>5</v>
      </c>
      <c r="G170" s="5">
        <f t="shared" si="7"/>
        <v>40000</v>
      </c>
      <c r="H170" s="2"/>
    </row>
    <row r="171" spans="1:8" x14ac:dyDescent="0.25">
      <c r="A171" s="3">
        <v>3</v>
      </c>
      <c r="B171" s="2" t="s">
        <v>330</v>
      </c>
      <c r="C171" s="2" t="s">
        <v>331</v>
      </c>
      <c r="D171" s="2" t="s">
        <v>325</v>
      </c>
      <c r="E171" s="2" t="s">
        <v>11</v>
      </c>
      <c r="F171" s="4">
        <v>5</v>
      </c>
      <c r="G171" s="5">
        <f t="shared" si="7"/>
        <v>40000</v>
      </c>
      <c r="H171" s="2"/>
    </row>
    <row r="172" spans="1:8" x14ac:dyDescent="0.25">
      <c r="A172" s="3">
        <v>4</v>
      </c>
      <c r="B172" s="2" t="s">
        <v>332</v>
      </c>
      <c r="C172" s="2" t="s">
        <v>333</v>
      </c>
      <c r="D172" s="2" t="s">
        <v>325</v>
      </c>
      <c r="E172" s="2" t="s">
        <v>11</v>
      </c>
      <c r="F172" s="4">
        <v>5</v>
      </c>
      <c r="G172" s="5">
        <f t="shared" si="7"/>
        <v>40000</v>
      </c>
      <c r="H172" s="2"/>
    </row>
    <row r="173" spans="1:8" x14ac:dyDescent="0.25">
      <c r="A173" s="3">
        <v>5</v>
      </c>
      <c r="B173" s="2" t="s">
        <v>334</v>
      </c>
      <c r="C173" s="2" t="s">
        <v>335</v>
      </c>
      <c r="D173" s="2" t="s">
        <v>325</v>
      </c>
      <c r="E173" s="2" t="s">
        <v>11</v>
      </c>
      <c r="F173" s="4">
        <v>5</v>
      </c>
      <c r="G173" s="5">
        <f t="shared" si="7"/>
        <v>40000</v>
      </c>
      <c r="H173" s="2"/>
    </row>
    <row r="174" spans="1:8" x14ac:dyDescent="0.25">
      <c r="A174" s="3">
        <v>6</v>
      </c>
      <c r="B174" s="2" t="s">
        <v>336</v>
      </c>
      <c r="C174" s="2" t="s">
        <v>337</v>
      </c>
      <c r="D174" s="2" t="s">
        <v>325</v>
      </c>
      <c r="E174" s="2" t="s">
        <v>14</v>
      </c>
      <c r="F174" s="4">
        <v>10</v>
      </c>
      <c r="G174" s="5">
        <f t="shared" si="7"/>
        <v>80000</v>
      </c>
      <c r="H174" s="2"/>
    </row>
    <row r="175" spans="1:8" x14ac:dyDescent="0.25">
      <c r="A175" s="3">
        <v>9</v>
      </c>
      <c r="B175" s="2" t="s">
        <v>338</v>
      </c>
      <c r="C175" s="2" t="s">
        <v>339</v>
      </c>
      <c r="D175" s="2" t="s">
        <v>325</v>
      </c>
      <c r="E175" s="2" t="s">
        <v>14</v>
      </c>
      <c r="F175" s="4">
        <v>10</v>
      </c>
      <c r="G175" s="5">
        <f t="shared" si="7"/>
        <v>80000</v>
      </c>
      <c r="H175" s="2"/>
    </row>
    <row r="176" spans="1:8" x14ac:dyDescent="0.25">
      <c r="A176" s="3">
        <v>37</v>
      </c>
      <c r="B176" s="2" t="s">
        <v>340</v>
      </c>
      <c r="C176" s="2" t="s">
        <v>341</v>
      </c>
      <c r="D176" s="2" t="s">
        <v>325</v>
      </c>
      <c r="E176" s="2" t="s">
        <v>11</v>
      </c>
      <c r="F176" s="4">
        <v>5</v>
      </c>
      <c r="G176" s="5">
        <f t="shared" si="7"/>
        <v>40000</v>
      </c>
      <c r="H176" s="2"/>
    </row>
    <row r="177" spans="1:8" x14ac:dyDescent="0.25">
      <c r="A177" s="3">
        <v>46</v>
      </c>
      <c r="B177" s="2" t="s">
        <v>342</v>
      </c>
      <c r="C177" s="2" t="s">
        <v>343</v>
      </c>
      <c r="D177" s="2" t="s">
        <v>325</v>
      </c>
      <c r="E177" s="2" t="s">
        <v>11</v>
      </c>
      <c r="F177" s="4">
        <v>5</v>
      </c>
      <c r="G177" s="5">
        <f t="shared" si="7"/>
        <v>40000</v>
      </c>
      <c r="H177" s="2"/>
    </row>
    <row r="178" spans="1:8" x14ac:dyDescent="0.25">
      <c r="A178" s="3">
        <v>49</v>
      </c>
      <c r="B178" s="2" t="s">
        <v>344</v>
      </c>
      <c r="C178" s="2" t="s">
        <v>345</v>
      </c>
      <c r="D178" s="2" t="s">
        <v>325</v>
      </c>
      <c r="E178" s="2" t="s">
        <v>11</v>
      </c>
      <c r="F178" s="4">
        <v>5</v>
      </c>
      <c r="G178" s="5">
        <f t="shared" si="7"/>
        <v>40000</v>
      </c>
      <c r="H178" s="2"/>
    </row>
    <row r="179" spans="1:8" x14ac:dyDescent="0.25">
      <c r="A179" s="3">
        <v>50</v>
      </c>
      <c r="B179" s="2" t="s">
        <v>346</v>
      </c>
      <c r="C179" s="2" t="s">
        <v>347</v>
      </c>
      <c r="D179" s="2" t="s">
        <v>325</v>
      </c>
      <c r="E179" s="2" t="s">
        <v>11</v>
      </c>
      <c r="F179" s="4">
        <v>5</v>
      </c>
      <c r="G179" s="5">
        <f t="shared" si="7"/>
        <v>40000</v>
      </c>
      <c r="H179" s="2"/>
    </row>
    <row r="180" spans="1:8" x14ac:dyDescent="0.25">
      <c r="A180" s="3">
        <v>51</v>
      </c>
      <c r="B180" s="2" t="s">
        <v>348</v>
      </c>
      <c r="C180" s="2" t="s">
        <v>349</v>
      </c>
      <c r="D180" s="2" t="s">
        <v>325</v>
      </c>
      <c r="E180" s="2" t="s">
        <v>11</v>
      </c>
      <c r="F180" s="4">
        <v>5</v>
      </c>
      <c r="G180" s="5">
        <f t="shared" si="7"/>
        <v>40000</v>
      </c>
      <c r="H180" s="2"/>
    </row>
    <row r="181" spans="1:8" x14ac:dyDescent="0.25">
      <c r="A181" s="3">
        <v>52</v>
      </c>
      <c r="B181" s="2" t="s">
        <v>350</v>
      </c>
      <c r="C181" s="2" t="s">
        <v>351</v>
      </c>
      <c r="D181" s="2" t="s">
        <v>325</v>
      </c>
      <c r="E181" s="2" t="s">
        <v>11</v>
      </c>
      <c r="F181" s="4">
        <v>5</v>
      </c>
      <c r="G181" s="5">
        <f t="shared" si="7"/>
        <v>40000</v>
      </c>
      <c r="H181" s="2"/>
    </row>
    <row r="182" spans="1:8" x14ac:dyDescent="0.25">
      <c r="A182" s="3">
        <v>53</v>
      </c>
      <c r="B182" s="2" t="s">
        <v>352</v>
      </c>
      <c r="C182" s="2" t="s">
        <v>353</v>
      </c>
      <c r="D182" s="2" t="s">
        <v>325</v>
      </c>
      <c r="E182" s="2" t="s">
        <v>11</v>
      </c>
      <c r="F182" s="4">
        <v>5</v>
      </c>
      <c r="G182" s="5">
        <f t="shared" si="7"/>
        <v>40000</v>
      </c>
      <c r="H182" s="2"/>
    </row>
    <row r="183" spans="1:8" x14ac:dyDescent="0.25">
      <c r="A183" s="3">
        <v>54</v>
      </c>
      <c r="B183" s="2" t="s">
        <v>354</v>
      </c>
      <c r="C183" s="2" t="s">
        <v>355</v>
      </c>
      <c r="D183" s="2" t="s">
        <v>325</v>
      </c>
      <c r="E183" s="2" t="s">
        <v>11</v>
      </c>
      <c r="F183" s="4">
        <v>5</v>
      </c>
      <c r="G183" s="5">
        <f t="shared" si="7"/>
        <v>40000</v>
      </c>
      <c r="H183" s="2"/>
    </row>
    <row r="184" spans="1:8" x14ac:dyDescent="0.25">
      <c r="A184" s="3">
        <v>59</v>
      </c>
      <c r="B184" s="2" t="s">
        <v>356</v>
      </c>
      <c r="C184" s="2" t="s">
        <v>357</v>
      </c>
      <c r="D184" s="2" t="s">
        <v>325</v>
      </c>
      <c r="E184" s="2" t="s">
        <v>11</v>
      </c>
      <c r="F184" s="4">
        <v>5</v>
      </c>
      <c r="G184" s="5">
        <f t="shared" si="7"/>
        <v>40000</v>
      </c>
      <c r="H184" s="2"/>
    </row>
    <row r="185" spans="1:8" x14ac:dyDescent="0.25">
      <c r="A185" s="3">
        <v>72</v>
      </c>
      <c r="B185" s="2" t="s">
        <v>358</v>
      </c>
      <c r="C185" s="2" t="s">
        <v>359</v>
      </c>
      <c r="D185" s="2" t="s">
        <v>325</v>
      </c>
      <c r="E185" s="2" t="s">
        <v>11</v>
      </c>
      <c r="F185" s="4">
        <v>5</v>
      </c>
      <c r="G185" s="5">
        <f t="shared" si="7"/>
        <v>40000</v>
      </c>
      <c r="H185" s="2"/>
    </row>
    <row r="186" spans="1:8" x14ac:dyDescent="0.25">
      <c r="A186" s="3">
        <v>74</v>
      </c>
      <c r="B186" s="2" t="s">
        <v>360</v>
      </c>
      <c r="C186" s="2" t="s">
        <v>361</v>
      </c>
      <c r="D186" s="2" t="s">
        <v>325</v>
      </c>
      <c r="E186" s="2" t="s">
        <v>11</v>
      </c>
      <c r="F186" s="4">
        <v>5</v>
      </c>
      <c r="G186" s="5">
        <f t="shared" si="7"/>
        <v>40000</v>
      </c>
      <c r="H186" s="2"/>
    </row>
    <row r="187" spans="1:8" x14ac:dyDescent="0.25">
      <c r="A187" s="3">
        <v>108</v>
      </c>
      <c r="B187" s="2" t="s">
        <v>362</v>
      </c>
      <c r="C187" s="2" t="s">
        <v>363</v>
      </c>
      <c r="D187" s="2" t="s">
        <v>325</v>
      </c>
      <c r="E187" s="2" t="s">
        <v>11</v>
      </c>
      <c r="F187" s="4">
        <v>5</v>
      </c>
      <c r="G187" s="5">
        <f t="shared" si="7"/>
        <v>40000</v>
      </c>
      <c r="H187" s="2"/>
    </row>
    <row r="188" spans="1:8" x14ac:dyDescent="0.25">
      <c r="A188" s="3">
        <v>110</v>
      </c>
      <c r="B188" s="2" t="s">
        <v>364</v>
      </c>
      <c r="C188" s="2" t="s">
        <v>365</v>
      </c>
      <c r="D188" s="2" t="s">
        <v>325</v>
      </c>
      <c r="E188" s="2" t="s">
        <v>14</v>
      </c>
      <c r="F188" s="4">
        <v>10</v>
      </c>
      <c r="G188" s="5">
        <f t="shared" si="7"/>
        <v>80000</v>
      </c>
      <c r="H188" s="2"/>
    </row>
    <row r="189" spans="1:8" x14ac:dyDescent="0.25">
      <c r="A189" s="3">
        <v>111</v>
      </c>
      <c r="B189" s="2" t="s">
        <v>366</v>
      </c>
      <c r="C189" s="2" t="s">
        <v>367</v>
      </c>
      <c r="D189" s="2" t="s">
        <v>325</v>
      </c>
      <c r="E189" s="2" t="s">
        <v>14</v>
      </c>
      <c r="F189" s="4">
        <v>10</v>
      </c>
      <c r="G189" s="5">
        <f t="shared" si="7"/>
        <v>80000</v>
      </c>
      <c r="H189" s="2"/>
    </row>
    <row r="190" spans="1:8" x14ac:dyDescent="0.25">
      <c r="A190" s="3">
        <v>114</v>
      </c>
      <c r="B190" s="2" t="s">
        <v>368</v>
      </c>
      <c r="C190" s="2" t="s">
        <v>369</v>
      </c>
      <c r="D190" s="2" t="s">
        <v>325</v>
      </c>
      <c r="E190" s="2" t="s">
        <v>11</v>
      </c>
      <c r="F190" s="4">
        <v>5</v>
      </c>
      <c r="G190" s="5">
        <f t="shared" si="7"/>
        <v>40000</v>
      </c>
      <c r="H190" s="2"/>
    </row>
    <row r="191" spans="1:8" x14ac:dyDescent="0.25">
      <c r="A191" s="3">
        <v>115</v>
      </c>
      <c r="B191" s="2" t="s">
        <v>370</v>
      </c>
      <c r="C191" s="2" t="s">
        <v>371</v>
      </c>
      <c r="D191" s="2" t="s">
        <v>325</v>
      </c>
      <c r="E191" s="2" t="s">
        <v>11</v>
      </c>
      <c r="F191" s="4">
        <v>5</v>
      </c>
      <c r="G191" s="5">
        <f t="shared" si="7"/>
        <v>40000</v>
      </c>
      <c r="H191" s="2"/>
    </row>
    <row r="192" spans="1:8" x14ac:dyDescent="0.25">
      <c r="A192" s="3">
        <v>116</v>
      </c>
      <c r="B192" s="2" t="s">
        <v>372</v>
      </c>
      <c r="C192" s="2" t="s">
        <v>373</v>
      </c>
      <c r="D192" s="2" t="s">
        <v>325</v>
      </c>
      <c r="E192" s="2" t="s">
        <v>11</v>
      </c>
      <c r="F192" s="4">
        <v>5</v>
      </c>
      <c r="G192" s="5">
        <f t="shared" si="7"/>
        <v>40000</v>
      </c>
      <c r="H192" s="2"/>
    </row>
    <row r="193" spans="1:8" x14ac:dyDescent="0.25">
      <c r="A193" s="3">
        <v>131</v>
      </c>
      <c r="B193" s="2" t="s">
        <v>374</v>
      </c>
      <c r="C193" s="2" t="s">
        <v>375</v>
      </c>
      <c r="D193" s="2" t="s">
        <v>325</v>
      </c>
      <c r="E193" s="2" t="s">
        <v>27</v>
      </c>
      <c r="F193" s="4">
        <v>3</v>
      </c>
      <c r="G193" s="5">
        <f t="shared" si="7"/>
        <v>24000</v>
      </c>
      <c r="H193" s="2"/>
    </row>
    <row r="194" spans="1:8" x14ac:dyDescent="0.25">
      <c r="A194" s="3">
        <v>135</v>
      </c>
      <c r="B194" s="2" t="s">
        <v>376</v>
      </c>
      <c r="C194" s="2" t="s">
        <v>377</v>
      </c>
      <c r="D194" s="2" t="s">
        <v>325</v>
      </c>
      <c r="E194" s="2" t="s">
        <v>27</v>
      </c>
      <c r="F194" s="4">
        <v>3</v>
      </c>
      <c r="G194" s="5">
        <f t="shared" si="7"/>
        <v>24000</v>
      </c>
      <c r="H194" s="2"/>
    </row>
    <row r="195" spans="1:8" x14ac:dyDescent="0.25">
      <c r="A195" s="3">
        <v>137</v>
      </c>
      <c r="B195" s="2" t="s">
        <v>378</v>
      </c>
      <c r="C195" s="2" t="s">
        <v>379</v>
      </c>
      <c r="D195" s="2" t="s">
        <v>325</v>
      </c>
      <c r="E195" s="2" t="s">
        <v>11</v>
      </c>
      <c r="F195" s="4">
        <v>5</v>
      </c>
      <c r="G195" s="5">
        <f t="shared" si="7"/>
        <v>40000</v>
      </c>
      <c r="H195" s="2"/>
    </row>
    <row r="196" spans="1:8" x14ac:dyDescent="0.25">
      <c r="A196" s="3">
        <v>138</v>
      </c>
      <c r="B196" s="2" t="s">
        <v>380</v>
      </c>
      <c r="C196" s="2" t="s">
        <v>381</v>
      </c>
      <c r="D196" s="2" t="s">
        <v>325</v>
      </c>
      <c r="E196" s="2" t="s">
        <v>11</v>
      </c>
      <c r="F196" s="4">
        <v>5</v>
      </c>
      <c r="G196" s="5">
        <f t="shared" si="7"/>
        <v>40000</v>
      </c>
      <c r="H196" s="2"/>
    </row>
    <row r="197" spans="1:8" x14ac:dyDescent="0.25">
      <c r="A197" s="3">
        <v>139</v>
      </c>
      <c r="B197" s="2" t="s">
        <v>382</v>
      </c>
      <c r="C197" s="2" t="s">
        <v>383</v>
      </c>
      <c r="D197" s="2" t="s">
        <v>325</v>
      </c>
      <c r="E197" s="2" t="s">
        <v>11</v>
      </c>
      <c r="F197" s="4">
        <v>5</v>
      </c>
      <c r="G197" s="5">
        <f t="shared" si="7"/>
        <v>40000</v>
      </c>
      <c r="H197" s="2"/>
    </row>
    <row r="198" spans="1:8" x14ac:dyDescent="0.25">
      <c r="A198" s="3">
        <v>148</v>
      </c>
      <c r="B198" s="2" t="s">
        <v>384</v>
      </c>
      <c r="C198" s="2" t="s">
        <v>385</v>
      </c>
      <c r="D198" s="2" t="s">
        <v>325</v>
      </c>
      <c r="E198" s="2" t="s">
        <v>11</v>
      </c>
      <c r="F198" s="4">
        <v>5</v>
      </c>
      <c r="G198" s="5">
        <f t="shared" si="7"/>
        <v>40000</v>
      </c>
      <c r="H198" s="2"/>
    </row>
    <row r="199" spans="1:8" x14ac:dyDescent="0.25">
      <c r="A199" s="3">
        <v>157</v>
      </c>
      <c r="B199" s="2" t="s">
        <v>386</v>
      </c>
      <c r="C199" s="2" t="s">
        <v>387</v>
      </c>
      <c r="D199" s="2" t="s">
        <v>325</v>
      </c>
      <c r="E199" s="2" t="s">
        <v>11</v>
      </c>
      <c r="F199" s="4">
        <v>5</v>
      </c>
      <c r="G199" s="5">
        <f t="shared" si="7"/>
        <v>40000</v>
      </c>
      <c r="H199" s="2"/>
    </row>
    <row r="200" spans="1:8" x14ac:dyDescent="0.25">
      <c r="A200" s="3">
        <v>158</v>
      </c>
      <c r="B200" s="2" t="s">
        <v>388</v>
      </c>
      <c r="C200" s="2" t="s">
        <v>389</v>
      </c>
      <c r="D200" s="2" t="s">
        <v>325</v>
      </c>
      <c r="E200" s="2" t="s">
        <v>11</v>
      </c>
      <c r="F200" s="4">
        <v>5</v>
      </c>
      <c r="G200" s="5">
        <f t="shared" si="7"/>
        <v>40000</v>
      </c>
      <c r="H200" s="2"/>
    </row>
    <row r="201" spans="1:8" x14ac:dyDescent="0.25">
      <c r="A201" s="3">
        <v>166</v>
      </c>
      <c r="B201" s="2" t="s">
        <v>390</v>
      </c>
      <c r="C201" s="2" t="s">
        <v>391</v>
      </c>
      <c r="D201" s="2" t="s">
        <v>325</v>
      </c>
      <c r="E201" s="2" t="s">
        <v>11</v>
      </c>
      <c r="F201" s="4">
        <v>5</v>
      </c>
      <c r="G201" s="5">
        <f t="shared" si="7"/>
        <v>40000</v>
      </c>
      <c r="H201" s="2"/>
    </row>
    <row r="202" spans="1:8" x14ac:dyDescent="0.25">
      <c r="A202" s="3">
        <v>167</v>
      </c>
      <c r="B202" s="2" t="s">
        <v>392</v>
      </c>
      <c r="C202" s="2" t="s">
        <v>393</v>
      </c>
      <c r="D202" s="2" t="s">
        <v>325</v>
      </c>
      <c r="E202" s="2" t="s">
        <v>11</v>
      </c>
      <c r="F202" s="4">
        <v>5</v>
      </c>
      <c r="G202" s="5">
        <f t="shared" si="7"/>
        <v>40000</v>
      </c>
      <c r="H202" s="2"/>
    </row>
    <row r="203" spans="1:8" x14ac:dyDescent="0.25">
      <c r="A203" s="3">
        <v>168</v>
      </c>
      <c r="B203" s="2" t="s">
        <v>394</v>
      </c>
      <c r="C203" s="2" t="s">
        <v>395</v>
      </c>
      <c r="D203" s="2" t="s">
        <v>325</v>
      </c>
      <c r="E203" s="2" t="s">
        <v>11</v>
      </c>
      <c r="F203" s="4">
        <v>5</v>
      </c>
      <c r="G203" s="5">
        <f t="shared" si="7"/>
        <v>40000</v>
      </c>
      <c r="H203" s="2"/>
    </row>
    <row r="204" spans="1:8" x14ac:dyDescent="0.25">
      <c r="A204" s="3">
        <v>169</v>
      </c>
      <c r="B204" s="2" t="s">
        <v>396</v>
      </c>
      <c r="C204" s="2" t="s">
        <v>397</v>
      </c>
      <c r="D204" s="2" t="s">
        <v>325</v>
      </c>
      <c r="E204" s="2" t="s">
        <v>11</v>
      </c>
      <c r="F204" s="4">
        <v>5</v>
      </c>
      <c r="G204" s="5">
        <f t="shared" si="7"/>
        <v>40000</v>
      </c>
      <c r="H204" s="2"/>
    </row>
    <row r="205" spans="1:8" x14ac:dyDescent="0.25">
      <c r="A205" s="3">
        <v>178</v>
      </c>
      <c r="B205" s="2" t="s">
        <v>398</v>
      </c>
      <c r="C205" s="2" t="s">
        <v>399</v>
      </c>
      <c r="D205" s="2" t="s">
        <v>325</v>
      </c>
      <c r="E205" s="2" t="s">
        <v>11</v>
      </c>
      <c r="F205" s="4">
        <v>5</v>
      </c>
      <c r="G205" s="5">
        <f t="shared" si="7"/>
        <v>40000</v>
      </c>
      <c r="H205" s="2"/>
    </row>
    <row r="206" spans="1:8" x14ac:dyDescent="0.25">
      <c r="A206" s="3">
        <v>181</v>
      </c>
      <c r="B206" s="2" t="s">
        <v>400</v>
      </c>
      <c r="C206" s="2" t="s">
        <v>401</v>
      </c>
      <c r="D206" s="2" t="s">
        <v>325</v>
      </c>
      <c r="E206" s="2" t="s">
        <v>11</v>
      </c>
      <c r="F206" s="4">
        <v>5</v>
      </c>
      <c r="G206" s="5">
        <f t="shared" si="7"/>
        <v>40000</v>
      </c>
      <c r="H206" s="2"/>
    </row>
    <row r="207" spans="1:8" x14ac:dyDescent="0.25">
      <c r="A207" s="3">
        <v>192</v>
      </c>
      <c r="B207" s="2" t="s">
        <v>402</v>
      </c>
      <c r="C207" s="2" t="s">
        <v>403</v>
      </c>
      <c r="D207" s="2" t="s">
        <v>325</v>
      </c>
      <c r="E207" s="2" t="s">
        <v>11</v>
      </c>
      <c r="F207" s="4">
        <v>5</v>
      </c>
      <c r="G207" s="5">
        <f t="shared" si="7"/>
        <v>40000</v>
      </c>
      <c r="H207" s="2"/>
    </row>
    <row r="208" spans="1:8" x14ac:dyDescent="0.25">
      <c r="A208" s="3">
        <v>196</v>
      </c>
      <c r="B208" s="2" t="s">
        <v>404</v>
      </c>
      <c r="C208" s="2" t="s">
        <v>405</v>
      </c>
      <c r="D208" s="2" t="s">
        <v>325</v>
      </c>
      <c r="E208" s="2" t="s">
        <v>11</v>
      </c>
      <c r="F208" s="4">
        <v>5</v>
      </c>
      <c r="G208" s="5">
        <f t="shared" si="7"/>
        <v>40000</v>
      </c>
      <c r="H208" s="2"/>
    </row>
    <row r="209" spans="1:8" x14ac:dyDescent="0.25">
      <c r="A209" s="3">
        <v>197</v>
      </c>
      <c r="B209" s="2" t="s">
        <v>406</v>
      </c>
      <c r="C209" s="2" t="s">
        <v>407</v>
      </c>
      <c r="D209" s="2" t="s">
        <v>325</v>
      </c>
      <c r="E209" s="2" t="s">
        <v>11</v>
      </c>
      <c r="F209" s="4">
        <v>5</v>
      </c>
      <c r="G209" s="5">
        <f t="shared" si="7"/>
        <v>40000</v>
      </c>
      <c r="H209" s="2"/>
    </row>
    <row r="210" spans="1:8" x14ac:dyDescent="0.25">
      <c r="A210" s="3">
        <v>198</v>
      </c>
      <c r="B210" s="2" t="s">
        <v>408</v>
      </c>
      <c r="C210" s="2" t="s">
        <v>409</v>
      </c>
      <c r="D210" s="2" t="s">
        <v>325</v>
      </c>
      <c r="E210" s="2" t="s">
        <v>11</v>
      </c>
      <c r="F210" s="4">
        <v>5</v>
      </c>
      <c r="G210" s="5">
        <f t="shared" si="7"/>
        <v>40000</v>
      </c>
      <c r="H210" s="2"/>
    </row>
    <row r="211" spans="1:8" x14ac:dyDescent="0.25">
      <c r="A211" s="3">
        <v>199</v>
      </c>
      <c r="B211" s="2" t="s">
        <v>410</v>
      </c>
      <c r="C211" s="2" t="s">
        <v>411</v>
      </c>
      <c r="D211" s="2" t="s">
        <v>325</v>
      </c>
      <c r="E211" s="2" t="s">
        <v>11</v>
      </c>
      <c r="F211" s="4">
        <v>5</v>
      </c>
      <c r="G211" s="5">
        <f t="shared" si="7"/>
        <v>40000</v>
      </c>
      <c r="H211" s="2"/>
    </row>
    <row r="212" spans="1:8" x14ac:dyDescent="0.25">
      <c r="A212" s="3">
        <v>200</v>
      </c>
      <c r="B212" s="2" t="s">
        <v>412</v>
      </c>
      <c r="C212" s="2" t="s">
        <v>413</v>
      </c>
      <c r="D212" s="2" t="s">
        <v>325</v>
      </c>
      <c r="E212" s="2" t="s">
        <v>11</v>
      </c>
      <c r="F212" s="4">
        <v>5</v>
      </c>
      <c r="G212" s="5">
        <f t="shared" si="7"/>
        <v>40000</v>
      </c>
      <c r="H212" s="2"/>
    </row>
    <row r="213" spans="1:8" x14ac:dyDescent="0.25">
      <c r="A213" s="3">
        <v>213</v>
      </c>
      <c r="B213" s="2" t="s">
        <v>414</v>
      </c>
      <c r="C213" s="2" t="s">
        <v>415</v>
      </c>
      <c r="D213" s="2" t="s">
        <v>325</v>
      </c>
      <c r="E213" s="2" t="s">
        <v>14</v>
      </c>
      <c r="F213" s="4">
        <v>10</v>
      </c>
      <c r="G213" s="5">
        <f t="shared" si="7"/>
        <v>80000</v>
      </c>
      <c r="H213" s="2"/>
    </row>
    <row r="214" spans="1:8" x14ac:dyDescent="0.25">
      <c r="A214" s="3">
        <v>215</v>
      </c>
      <c r="B214" s="2" t="s">
        <v>416</v>
      </c>
      <c r="C214" s="2" t="s">
        <v>417</v>
      </c>
      <c r="D214" s="2" t="s">
        <v>325</v>
      </c>
      <c r="E214" s="2" t="s">
        <v>11</v>
      </c>
      <c r="F214" s="4">
        <v>5</v>
      </c>
      <c r="G214" s="5">
        <f t="shared" si="7"/>
        <v>40000</v>
      </c>
      <c r="H214" s="2"/>
    </row>
    <row r="215" spans="1:8" x14ac:dyDescent="0.25">
      <c r="A215" s="3">
        <v>216</v>
      </c>
      <c r="B215" s="2" t="s">
        <v>418</v>
      </c>
      <c r="C215" s="2" t="s">
        <v>419</v>
      </c>
      <c r="D215" s="2" t="s">
        <v>325</v>
      </c>
      <c r="E215" s="2" t="s">
        <v>14</v>
      </c>
      <c r="F215" s="4">
        <v>10</v>
      </c>
      <c r="G215" s="5">
        <f t="shared" si="7"/>
        <v>80000</v>
      </c>
      <c r="H215" s="2"/>
    </row>
    <row r="216" spans="1:8" x14ac:dyDescent="0.25">
      <c r="A216" s="3">
        <v>217</v>
      </c>
      <c r="B216" s="2" t="s">
        <v>420</v>
      </c>
      <c r="C216" s="2" t="s">
        <v>421</v>
      </c>
      <c r="D216" s="2" t="s">
        <v>325</v>
      </c>
      <c r="E216" s="2" t="s">
        <v>11</v>
      </c>
      <c r="F216" s="4">
        <v>5</v>
      </c>
      <c r="G216" s="5">
        <f t="shared" si="7"/>
        <v>40000</v>
      </c>
      <c r="H216" s="2"/>
    </row>
    <row r="217" spans="1:8" x14ac:dyDescent="0.25">
      <c r="A217" s="3">
        <v>219</v>
      </c>
      <c r="B217" s="2" t="s">
        <v>422</v>
      </c>
      <c r="C217" s="2" t="s">
        <v>423</v>
      </c>
      <c r="D217" s="2" t="s">
        <v>325</v>
      </c>
      <c r="E217" s="2" t="s">
        <v>11</v>
      </c>
      <c r="F217" s="4">
        <v>5</v>
      </c>
      <c r="G217" s="5">
        <f t="shared" si="7"/>
        <v>40000</v>
      </c>
      <c r="H217" s="2"/>
    </row>
    <row r="218" spans="1:8" x14ac:dyDescent="0.25">
      <c r="A218" s="3">
        <v>221</v>
      </c>
      <c r="B218" s="2" t="s">
        <v>424</v>
      </c>
      <c r="C218" s="2" t="s">
        <v>425</v>
      </c>
      <c r="D218" s="2" t="s">
        <v>325</v>
      </c>
      <c r="E218" s="2" t="s">
        <v>11</v>
      </c>
      <c r="F218" s="4">
        <v>5</v>
      </c>
      <c r="G218" s="5">
        <f t="shared" si="7"/>
        <v>40000</v>
      </c>
      <c r="H218" s="2"/>
    </row>
    <row r="219" spans="1:8" x14ac:dyDescent="0.25">
      <c r="A219" s="3">
        <v>226</v>
      </c>
      <c r="B219" s="2" t="s">
        <v>426</v>
      </c>
      <c r="C219" s="2" t="s">
        <v>427</v>
      </c>
      <c r="D219" s="2" t="s">
        <v>325</v>
      </c>
      <c r="E219" s="2" t="s">
        <v>27</v>
      </c>
      <c r="F219" s="4">
        <v>3</v>
      </c>
      <c r="G219" s="5">
        <f t="shared" si="7"/>
        <v>24000</v>
      </c>
      <c r="H219" s="2"/>
    </row>
    <row r="220" spans="1:8" x14ac:dyDescent="0.25">
      <c r="A220" s="3">
        <v>228</v>
      </c>
      <c r="B220" s="2" t="s">
        <v>428</v>
      </c>
      <c r="C220" s="2" t="s">
        <v>429</v>
      </c>
      <c r="D220" s="2" t="s">
        <v>325</v>
      </c>
      <c r="E220" s="2" t="s">
        <v>11</v>
      </c>
      <c r="F220" s="4">
        <v>5</v>
      </c>
      <c r="G220" s="5">
        <f t="shared" si="7"/>
        <v>40000</v>
      </c>
      <c r="H220" s="2"/>
    </row>
    <row r="221" spans="1:8" x14ac:dyDescent="0.25">
      <c r="A221" s="3">
        <v>229</v>
      </c>
      <c r="B221" s="2" t="s">
        <v>430</v>
      </c>
      <c r="C221" s="2" t="s">
        <v>431</v>
      </c>
      <c r="D221" s="2" t="s">
        <v>325</v>
      </c>
      <c r="E221" s="2" t="s">
        <v>11</v>
      </c>
      <c r="F221" s="4">
        <v>5</v>
      </c>
      <c r="G221" s="5">
        <f t="shared" si="7"/>
        <v>40000</v>
      </c>
      <c r="H221" s="2"/>
    </row>
    <row r="222" spans="1:8" x14ac:dyDescent="0.25">
      <c r="A222" s="6"/>
      <c r="B222" s="6" t="s">
        <v>432</v>
      </c>
      <c r="C222" s="6"/>
      <c r="D222" s="6"/>
      <c r="E222" s="6"/>
      <c r="F222" s="7">
        <f>SUM(F169:F221)</f>
        <v>289</v>
      </c>
      <c r="G222" s="8">
        <f>SUM(G169:G221)</f>
        <v>2312000</v>
      </c>
      <c r="H222" s="6"/>
    </row>
    <row r="223" spans="1:8" x14ac:dyDescent="0.25">
      <c r="A223" s="12" t="s">
        <v>433</v>
      </c>
      <c r="B223" s="13"/>
      <c r="C223" s="13"/>
      <c r="D223" s="13"/>
      <c r="E223" s="13"/>
      <c r="F223" s="13"/>
      <c r="G223" s="13"/>
      <c r="H223" s="13"/>
    </row>
    <row r="224" spans="1:8" x14ac:dyDescent="0.25">
      <c r="A224" s="3">
        <v>7</v>
      </c>
      <c r="B224" s="2" t="s">
        <v>434</v>
      </c>
      <c r="C224" s="2" t="s">
        <v>435</v>
      </c>
      <c r="D224" s="2" t="s">
        <v>433</v>
      </c>
      <c r="E224" s="2" t="s">
        <v>14</v>
      </c>
      <c r="F224" s="4">
        <v>10</v>
      </c>
      <c r="G224" s="5">
        <f t="shared" ref="G224:G247" si="8">F224*8000</f>
        <v>80000</v>
      </c>
      <c r="H224" s="2"/>
    </row>
    <row r="225" spans="1:8" x14ac:dyDescent="0.25">
      <c r="A225" s="3">
        <v>35</v>
      </c>
      <c r="B225" s="2" t="s">
        <v>436</v>
      </c>
      <c r="C225" s="2" t="s">
        <v>437</v>
      </c>
      <c r="D225" s="2" t="s">
        <v>433</v>
      </c>
      <c r="E225" s="2" t="s">
        <v>11</v>
      </c>
      <c r="F225" s="4">
        <v>5</v>
      </c>
      <c r="G225" s="5">
        <f t="shared" si="8"/>
        <v>40000</v>
      </c>
      <c r="H225" s="2"/>
    </row>
    <row r="226" spans="1:8" x14ac:dyDescent="0.25">
      <c r="A226" s="3">
        <v>36</v>
      </c>
      <c r="B226" s="2" t="s">
        <v>438</v>
      </c>
      <c r="C226" s="2" t="s">
        <v>439</v>
      </c>
      <c r="D226" s="2" t="s">
        <v>433</v>
      </c>
      <c r="E226" s="2" t="s">
        <v>11</v>
      </c>
      <c r="F226" s="4">
        <v>5</v>
      </c>
      <c r="G226" s="5">
        <f t="shared" si="8"/>
        <v>40000</v>
      </c>
      <c r="H226" s="2"/>
    </row>
    <row r="227" spans="1:8" x14ac:dyDescent="0.25">
      <c r="A227" s="3">
        <v>38</v>
      </c>
      <c r="B227" s="2" t="s">
        <v>440</v>
      </c>
      <c r="C227" s="2" t="s">
        <v>441</v>
      </c>
      <c r="D227" s="2" t="s">
        <v>433</v>
      </c>
      <c r="E227" s="2" t="s">
        <v>11</v>
      </c>
      <c r="F227" s="4">
        <v>5</v>
      </c>
      <c r="G227" s="5">
        <f t="shared" si="8"/>
        <v>40000</v>
      </c>
      <c r="H227" s="2"/>
    </row>
    <row r="228" spans="1:8" x14ac:dyDescent="0.25">
      <c r="A228" s="3">
        <v>39</v>
      </c>
      <c r="B228" s="2" t="s">
        <v>442</v>
      </c>
      <c r="C228" s="2" t="s">
        <v>443</v>
      </c>
      <c r="D228" s="2" t="s">
        <v>433</v>
      </c>
      <c r="E228" s="2" t="s">
        <v>11</v>
      </c>
      <c r="F228" s="4">
        <v>5</v>
      </c>
      <c r="G228" s="5">
        <f t="shared" si="8"/>
        <v>40000</v>
      </c>
      <c r="H228" s="2"/>
    </row>
    <row r="229" spans="1:8" x14ac:dyDescent="0.25">
      <c r="A229" s="3">
        <v>40</v>
      </c>
      <c r="B229" s="2" t="s">
        <v>444</v>
      </c>
      <c r="C229" s="2" t="s">
        <v>445</v>
      </c>
      <c r="D229" s="2" t="s">
        <v>433</v>
      </c>
      <c r="E229" s="2" t="s">
        <v>11</v>
      </c>
      <c r="F229" s="4">
        <v>5</v>
      </c>
      <c r="G229" s="5">
        <f t="shared" si="8"/>
        <v>40000</v>
      </c>
      <c r="H229" s="2"/>
    </row>
    <row r="230" spans="1:8" x14ac:dyDescent="0.25">
      <c r="A230" s="3">
        <v>41</v>
      </c>
      <c r="B230" s="2" t="s">
        <v>446</v>
      </c>
      <c r="C230" s="2" t="s">
        <v>447</v>
      </c>
      <c r="D230" s="2" t="s">
        <v>433</v>
      </c>
      <c r="E230" s="2" t="s">
        <v>14</v>
      </c>
      <c r="F230" s="4">
        <v>10</v>
      </c>
      <c r="G230" s="5">
        <f t="shared" si="8"/>
        <v>80000</v>
      </c>
      <c r="H230" s="2"/>
    </row>
    <row r="231" spans="1:8" x14ac:dyDescent="0.25">
      <c r="A231" s="3">
        <v>42</v>
      </c>
      <c r="B231" s="2" t="s">
        <v>448</v>
      </c>
      <c r="C231" s="2" t="s">
        <v>449</v>
      </c>
      <c r="D231" s="2" t="s">
        <v>433</v>
      </c>
      <c r="E231" s="2" t="s">
        <v>11</v>
      </c>
      <c r="F231" s="4">
        <v>5</v>
      </c>
      <c r="G231" s="5">
        <f t="shared" si="8"/>
        <v>40000</v>
      </c>
      <c r="H231" s="2"/>
    </row>
    <row r="232" spans="1:8" x14ac:dyDescent="0.25">
      <c r="A232" s="3">
        <v>43</v>
      </c>
      <c r="B232" s="2" t="s">
        <v>450</v>
      </c>
      <c r="C232" s="2" t="s">
        <v>451</v>
      </c>
      <c r="D232" s="2" t="s">
        <v>433</v>
      </c>
      <c r="E232" s="2" t="s">
        <v>11</v>
      </c>
      <c r="F232" s="4">
        <v>5</v>
      </c>
      <c r="G232" s="5">
        <f t="shared" si="8"/>
        <v>40000</v>
      </c>
      <c r="H232" s="2"/>
    </row>
    <row r="233" spans="1:8" x14ac:dyDescent="0.25">
      <c r="A233" s="3">
        <v>44</v>
      </c>
      <c r="B233" s="2" t="s">
        <v>452</v>
      </c>
      <c r="C233" s="2" t="s">
        <v>453</v>
      </c>
      <c r="D233" s="2" t="s">
        <v>433</v>
      </c>
      <c r="E233" s="2" t="s">
        <v>11</v>
      </c>
      <c r="F233" s="4">
        <v>5</v>
      </c>
      <c r="G233" s="5">
        <f t="shared" si="8"/>
        <v>40000</v>
      </c>
      <c r="H233" s="2"/>
    </row>
    <row r="234" spans="1:8" x14ac:dyDescent="0.25">
      <c r="A234" s="3">
        <v>45</v>
      </c>
      <c r="B234" s="2" t="s">
        <v>454</v>
      </c>
      <c r="C234" s="2" t="s">
        <v>455</v>
      </c>
      <c r="D234" s="2" t="s">
        <v>433</v>
      </c>
      <c r="E234" s="2" t="s">
        <v>11</v>
      </c>
      <c r="F234" s="4">
        <v>5</v>
      </c>
      <c r="G234" s="5">
        <f t="shared" si="8"/>
        <v>40000</v>
      </c>
      <c r="H234" s="2"/>
    </row>
    <row r="235" spans="1:8" x14ac:dyDescent="0.25">
      <c r="A235" s="3">
        <v>55</v>
      </c>
      <c r="B235" s="2" t="s">
        <v>456</v>
      </c>
      <c r="C235" s="2" t="s">
        <v>457</v>
      </c>
      <c r="D235" s="2" t="s">
        <v>433</v>
      </c>
      <c r="E235" s="2" t="s">
        <v>11</v>
      </c>
      <c r="F235" s="4">
        <v>5</v>
      </c>
      <c r="G235" s="5">
        <f t="shared" si="8"/>
        <v>40000</v>
      </c>
      <c r="H235" s="2"/>
    </row>
    <row r="236" spans="1:8" x14ac:dyDescent="0.25">
      <c r="A236" s="3">
        <v>56</v>
      </c>
      <c r="B236" s="2" t="s">
        <v>458</v>
      </c>
      <c r="C236" s="2" t="s">
        <v>459</v>
      </c>
      <c r="D236" s="2" t="s">
        <v>433</v>
      </c>
      <c r="E236" s="2" t="s">
        <v>11</v>
      </c>
      <c r="F236" s="4">
        <v>5</v>
      </c>
      <c r="G236" s="5">
        <f t="shared" si="8"/>
        <v>40000</v>
      </c>
      <c r="H236" s="2"/>
    </row>
    <row r="237" spans="1:8" x14ac:dyDescent="0.25">
      <c r="A237" s="3">
        <v>57</v>
      </c>
      <c r="B237" s="2" t="s">
        <v>460</v>
      </c>
      <c r="C237" s="2" t="s">
        <v>357</v>
      </c>
      <c r="D237" s="2" t="s">
        <v>433</v>
      </c>
      <c r="E237" s="2" t="s">
        <v>11</v>
      </c>
      <c r="F237" s="4">
        <v>5</v>
      </c>
      <c r="G237" s="5">
        <f t="shared" si="8"/>
        <v>40000</v>
      </c>
      <c r="H237" s="2"/>
    </row>
    <row r="238" spans="1:8" x14ac:dyDescent="0.25">
      <c r="A238" s="3">
        <v>58</v>
      </c>
      <c r="B238" s="2" t="s">
        <v>461</v>
      </c>
      <c r="C238" s="2" t="s">
        <v>462</v>
      </c>
      <c r="D238" s="2" t="s">
        <v>433</v>
      </c>
      <c r="E238" s="2" t="s">
        <v>11</v>
      </c>
      <c r="F238" s="4">
        <v>5</v>
      </c>
      <c r="G238" s="5">
        <f t="shared" si="8"/>
        <v>40000</v>
      </c>
      <c r="H238" s="2"/>
    </row>
    <row r="239" spans="1:8" x14ac:dyDescent="0.25">
      <c r="A239" s="3">
        <v>60</v>
      </c>
      <c r="B239" s="2" t="s">
        <v>463</v>
      </c>
      <c r="C239" s="2" t="s">
        <v>464</v>
      </c>
      <c r="D239" s="2" t="s">
        <v>433</v>
      </c>
      <c r="E239" s="2" t="s">
        <v>11</v>
      </c>
      <c r="F239" s="4">
        <v>5</v>
      </c>
      <c r="G239" s="5">
        <f t="shared" si="8"/>
        <v>40000</v>
      </c>
      <c r="H239" s="2"/>
    </row>
    <row r="240" spans="1:8" x14ac:dyDescent="0.25">
      <c r="A240" s="3">
        <v>61</v>
      </c>
      <c r="B240" s="2" t="s">
        <v>465</v>
      </c>
      <c r="C240" s="2" t="s">
        <v>466</v>
      </c>
      <c r="D240" s="2" t="s">
        <v>433</v>
      </c>
      <c r="E240" s="2" t="s">
        <v>11</v>
      </c>
      <c r="F240" s="4">
        <v>5</v>
      </c>
      <c r="G240" s="5">
        <f t="shared" si="8"/>
        <v>40000</v>
      </c>
      <c r="H240" s="2"/>
    </row>
    <row r="241" spans="1:8" x14ac:dyDescent="0.25">
      <c r="A241" s="3">
        <v>62</v>
      </c>
      <c r="B241" s="2" t="s">
        <v>467</v>
      </c>
      <c r="C241" s="2" t="s">
        <v>468</v>
      </c>
      <c r="D241" s="2" t="s">
        <v>433</v>
      </c>
      <c r="E241" s="2" t="s">
        <v>11</v>
      </c>
      <c r="F241" s="4">
        <v>5</v>
      </c>
      <c r="G241" s="5">
        <f t="shared" si="8"/>
        <v>40000</v>
      </c>
      <c r="H241" s="2"/>
    </row>
    <row r="242" spans="1:8" x14ac:dyDescent="0.25">
      <c r="A242" s="3">
        <v>63</v>
      </c>
      <c r="B242" s="2" t="s">
        <v>469</v>
      </c>
      <c r="C242" s="2" t="s">
        <v>470</v>
      </c>
      <c r="D242" s="2" t="s">
        <v>433</v>
      </c>
      <c r="E242" s="2" t="s">
        <v>11</v>
      </c>
      <c r="F242" s="4">
        <v>5</v>
      </c>
      <c r="G242" s="5">
        <f t="shared" si="8"/>
        <v>40000</v>
      </c>
      <c r="H242" s="2"/>
    </row>
    <row r="243" spans="1:8" x14ac:dyDescent="0.25">
      <c r="A243" s="3">
        <v>66</v>
      </c>
      <c r="B243" s="2" t="s">
        <v>471</v>
      </c>
      <c r="C243" s="2" t="s">
        <v>472</v>
      </c>
      <c r="D243" s="2" t="s">
        <v>433</v>
      </c>
      <c r="E243" s="2" t="s">
        <v>11</v>
      </c>
      <c r="F243" s="4">
        <v>5</v>
      </c>
      <c r="G243" s="5">
        <f t="shared" si="8"/>
        <v>40000</v>
      </c>
      <c r="H243" s="2"/>
    </row>
    <row r="244" spans="1:8" x14ac:dyDescent="0.25">
      <c r="A244" s="3">
        <v>172</v>
      </c>
      <c r="B244" s="2" t="s">
        <v>473</v>
      </c>
      <c r="C244" s="2" t="s">
        <v>474</v>
      </c>
      <c r="D244" s="2" t="s">
        <v>433</v>
      </c>
      <c r="E244" s="2" t="s">
        <v>11</v>
      </c>
      <c r="F244" s="4">
        <v>5</v>
      </c>
      <c r="G244" s="5">
        <f t="shared" si="8"/>
        <v>40000</v>
      </c>
      <c r="H244" s="2"/>
    </row>
    <row r="245" spans="1:8" x14ac:dyDescent="0.25">
      <c r="A245" s="3">
        <v>173</v>
      </c>
      <c r="B245" s="2" t="s">
        <v>475</v>
      </c>
      <c r="C245" s="2" t="s">
        <v>476</v>
      </c>
      <c r="D245" s="2" t="s">
        <v>433</v>
      </c>
      <c r="E245" s="2" t="s">
        <v>11</v>
      </c>
      <c r="F245" s="4">
        <v>5</v>
      </c>
      <c r="G245" s="5">
        <f t="shared" si="8"/>
        <v>40000</v>
      </c>
      <c r="H245" s="2"/>
    </row>
    <row r="246" spans="1:8" x14ac:dyDescent="0.25">
      <c r="A246" s="3">
        <v>174</v>
      </c>
      <c r="B246" s="2" t="s">
        <v>477</v>
      </c>
      <c r="C246" s="2" t="s">
        <v>478</v>
      </c>
      <c r="D246" s="2" t="s">
        <v>433</v>
      </c>
      <c r="E246" s="2" t="s">
        <v>11</v>
      </c>
      <c r="F246" s="4">
        <v>5</v>
      </c>
      <c r="G246" s="5">
        <f t="shared" si="8"/>
        <v>40000</v>
      </c>
      <c r="H246" s="2"/>
    </row>
    <row r="247" spans="1:8" x14ac:dyDescent="0.25">
      <c r="A247" s="3">
        <v>175</v>
      </c>
      <c r="B247" s="2" t="s">
        <v>479</v>
      </c>
      <c r="C247" s="2" t="s">
        <v>480</v>
      </c>
      <c r="D247" s="2" t="s">
        <v>433</v>
      </c>
      <c r="E247" s="2" t="s">
        <v>11</v>
      </c>
      <c r="F247" s="4">
        <v>5</v>
      </c>
      <c r="G247" s="5">
        <f t="shared" si="8"/>
        <v>40000</v>
      </c>
      <c r="H247" s="2"/>
    </row>
    <row r="248" spans="1:8" x14ac:dyDescent="0.25">
      <c r="A248" s="6"/>
      <c r="B248" s="6" t="s">
        <v>481</v>
      </c>
      <c r="C248" s="6"/>
      <c r="D248" s="6"/>
      <c r="E248" s="6"/>
      <c r="F248" s="7">
        <f>SUM(F224:F247)</f>
        <v>130</v>
      </c>
      <c r="G248" s="8">
        <f>SUM(G224:G247)</f>
        <v>1040000</v>
      </c>
      <c r="H248" s="6"/>
    </row>
    <row r="250" spans="1:8" x14ac:dyDescent="0.25">
      <c r="A250" s="14" t="s">
        <v>482</v>
      </c>
      <c r="B250" s="13"/>
      <c r="C250" s="13"/>
      <c r="D250" s="13"/>
      <c r="E250" s="13"/>
      <c r="F250" s="13"/>
      <c r="G250" s="13"/>
      <c r="H250" s="13"/>
    </row>
    <row r="251" spans="1:8" x14ac:dyDescent="0.25">
      <c r="A251" s="3" t="s">
        <v>483</v>
      </c>
      <c r="B251" s="2" t="s">
        <v>484</v>
      </c>
      <c r="C251" s="2" t="s">
        <v>485</v>
      </c>
      <c r="D251" s="2" t="s">
        <v>486</v>
      </c>
      <c r="E251" s="2" t="s">
        <v>485</v>
      </c>
      <c r="F251" s="4">
        <v>10</v>
      </c>
      <c r="G251" s="5">
        <f t="shared" ref="G251:G258" si="9">F251*8000</f>
        <v>80000</v>
      </c>
      <c r="H251" s="2"/>
    </row>
    <row r="252" spans="1:8" x14ac:dyDescent="0.25">
      <c r="A252" s="3" t="s">
        <v>487</v>
      </c>
      <c r="B252" s="2" t="s">
        <v>488</v>
      </c>
      <c r="C252" s="2" t="s">
        <v>485</v>
      </c>
      <c r="D252" s="2" t="s">
        <v>489</v>
      </c>
      <c r="E252" s="2" t="s">
        <v>485</v>
      </c>
      <c r="F252" s="4">
        <v>8</v>
      </c>
      <c r="G252" s="5">
        <f t="shared" si="9"/>
        <v>64000</v>
      </c>
      <c r="H252" s="2"/>
    </row>
    <row r="253" spans="1:8" x14ac:dyDescent="0.25">
      <c r="A253" s="3" t="s">
        <v>490</v>
      </c>
      <c r="B253" s="2" t="s">
        <v>491</v>
      </c>
      <c r="C253" s="2" t="s">
        <v>485</v>
      </c>
      <c r="D253" s="2" t="s">
        <v>489</v>
      </c>
      <c r="E253" s="2" t="s">
        <v>485</v>
      </c>
      <c r="F253" s="4">
        <v>10</v>
      </c>
      <c r="G253" s="5">
        <f t="shared" si="9"/>
        <v>80000</v>
      </c>
      <c r="H253" s="2"/>
    </row>
    <row r="254" spans="1:8" x14ac:dyDescent="0.25">
      <c r="A254" s="3" t="s">
        <v>492</v>
      </c>
      <c r="B254" s="2" t="s">
        <v>493</v>
      </c>
      <c r="C254" s="2" t="s">
        <v>485</v>
      </c>
      <c r="D254" s="2" t="s">
        <v>489</v>
      </c>
      <c r="E254" s="2" t="s">
        <v>485</v>
      </c>
      <c r="F254" s="4">
        <v>6</v>
      </c>
      <c r="G254" s="5">
        <f t="shared" si="9"/>
        <v>48000</v>
      </c>
      <c r="H254" s="2"/>
    </row>
    <row r="255" spans="1:8" x14ac:dyDescent="0.25">
      <c r="A255" s="3" t="s">
        <v>494</v>
      </c>
      <c r="B255" s="2" t="s">
        <v>495</v>
      </c>
      <c r="C255" s="2" t="s">
        <v>485</v>
      </c>
      <c r="D255" s="2" t="s">
        <v>489</v>
      </c>
      <c r="E255" s="2" t="s">
        <v>485</v>
      </c>
      <c r="F255" s="4">
        <v>8</v>
      </c>
      <c r="G255" s="5">
        <f t="shared" si="9"/>
        <v>64000</v>
      </c>
      <c r="H255" s="2"/>
    </row>
    <row r="256" spans="1:8" x14ac:dyDescent="0.25">
      <c r="A256" s="3" t="s">
        <v>496</v>
      </c>
      <c r="B256" s="2" t="s">
        <v>497</v>
      </c>
      <c r="C256" s="2" t="s">
        <v>485</v>
      </c>
      <c r="D256" s="2" t="s">
        <v>498</v>
      </c>
      <c r="E256" s="2" t="s">
        <v>485</v>
      </c>
      <c r="F256" s="4">
        <v>12</v>
      </c>
      <c r="G256" s="5">
        <f t="shared" si="9"/>
        <v>96000</v>
      </c>
      <c r="H256" s="2"/>
    </row>
    <row r="257" spans="1:8" x14ac:dyDescent="0.25">
      <c r="A257" s="3" t="s">
        <v>499</v>
      </c>
      <c r="B257" s="2" t="s">
        <v>500</v>
      </c>
      <c r="C257" s="2" t="s">
        <v>485</v>
      </c>
      <c r="D257" s="2" t="s">
        <v>501</v>
      </c>
      <c r="E257" s="2" t="s">
        <v>485</v>
      </c>
      <c r="F257" s="4">
        <v>30</v>
      </c>
      <c r="G257" s="5">
        <f t="shared" si="9"/>
        <v>240000</v>
      </c>
      <c r="H257" s="2"/>
    </row>
    <row r="258" spans="1:8" x14ac:dyDescent="0.25">
      <c r="A258" s="3" t="s">
        <v>502</v>
      </c>
      <c r="B258" s="2" t="s">
        <v>503</v>
      </c>
      <c r="C258" s="2" t="s">
        <v>485</v>
      </c>
      <c r="D258" s="2" t="s">
        <v>501</v>
      </c>
      <c r="E258" s="2" t="s">
        <v>485</v>
      </c>
      <c r="F258" s="4">
        <v>40</v>
      </c>
      <c r="G258" s="5">
        <f t="shared" si="9"/>
        <v>320000</v>
      </c>
      <c r="H258" s="2"/>
    </row>
    <row r="259" spans="1:8" x14ac:dyDescent="0.25">
      <c r="A259" s="6"/>
      <c r="B259" s="6" t="s">
        <v>504</v>
      </c>
      <c r="C259" s="6"/>
      <c r="D259" s="6"/>
      <c r="E259" s="6"/>
      <c r="F259" s="7">
        <f>SUM(F251:F258)</f>
        <v>124</v>
      </c>
      <c r="G259" s="8">
        <f>SUM(G251:G258)</f>
        <v>992000</v>
      </c>
      <c r="H259" s="6"/>
    </row>
    <row r="260" spans="1:8" x14ac:dyDescent="0.25">
      <c r="A260" s="18"/>
      <c r="B260" s="20" t="s">
        <v>505</v>
      </c>
      <c r="C260" s="18"/>
      <c r="D260" s="18"/>
      <c r="E260" s="18"/>
      <c r="F260" s="19">
        <f>SUM(F65,F68,F105,F111,F119,F138,F167,F222,F248,F259)</f>
        <v>1195</v>
      </c>
      <c r="G260" s="19">
        <f>SUM(G259,G248,G222,G167,G138,G119,G111,G105,G68,G65)</f>
        <v>9560000</v>
      </c>
      <c r="H260" s="18"/>
    </row>
  </sheetData>
  <mergeCells count="10">
    <mergeCell ref="A250:H250"/>
    <mergeCell ref="A106:H106"/>
    <mergeCell ref="A139:H139"/>
    <mergeCell ref="A223:H223"/>
    <mergeCell ref="A69:H69"/>
    <mergeCell ref="A2:H2"/>
    <mergeCell ref="A112:H112"/>
    <mergeCell ref="A66:H66"/>
    <mergeCell ref="A120:H120"/>
    <mergeCell ref="A168:H1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>
      <selection activeCell="A8" sqref="A8"/>
    </sheetView>
  </sheetViews>
  <sheetFormatPr defaultRowHeight="15" x14ac:dyDescent="0.25"/>
  <cols>
    <col min="1" max="1" width="25" customWidth="1"/>
    <col min="2" max="2" width="20" customWidth="1"/>
  </cols>
  <sheetData>
    <row r="1" spans="1:2" ht="18.75" x14ac:dyDescent="0.3">
      <c r="A1" s="15" t="s">
        <v>506</v>
      </c>
      <c r="B1" s="16"/>
    </row>
    <row r="3" spans="1:2" x14ac:dyDescent="0.25">
      <c r="A3" t="s">
        <v>507</v>
      </c>
      <c r="B3" t="s">
        <v>508</v>
      </c>
    </row>
    <row r="5" spans="1:2" x14ac:dyDescent="0.25">
      <c r="A5" s="9" t="s">
        <v>509</v>
      </c>
      <c r="B5" s="10" t="s">
        <v>510</v>
      </c>
    </row>
    <row r="6" spans="1:2" x14ac:dyDescent="0.25">
      <c r="A6" s="11" t="s">
        <v>511</v>
      </c>
      <c r="B6" s="17">
        <f>開發人天評估!F260-開發人天評估!F259</f>
        <v>1071</v>
      </c>
    </row>
    <row r="7" spans="1:2" x14ac:dyDescent="0.25">
      <c r="A7" s="11" t="s">
        <v>512</v>
      </c>
      <c r="B7" s="17">
        <f>開發人天評估!F259</f>
        <v>124</v>
      </c>
    </row>
    <row r="8" spans="1:2" ht="15.75" x14ac:dyDescent="0.25">
      <c r="A8" s="21" t="s">
        <v>513</v>
      </c>
      <c r="B8" s="22">
        <f>SUM(B6:B7)</f>
        <v>1195</v>
      </c>
    </row>
    <row r="9" spans="1:2" x14ac:dyDescent="0.25">
      <c r="A9" s="11"/>
      <c r="B9" s="17"/>
    </row>
    <row r="10" spans="1:2" x14ac:dyDescent="0.25">
      <c r="A10" s="11" t="s">
        <v>514</v>
      </c>
      <c r="B10" s="17">
        <v>8</v>
      </c>
    </row>
    <row r="11" spans="1:2" x14ac:dyDescent="0.25">
      <c r="A11" s="11" t="s">
        <v>515</v>
      </c>
      <c r="B11" s="17">
        <v>1000</v>
      </c>
    </row>
    <row r="12" spans="1:2" x14ac:dyDescent="0.25">
      <c r="A12" s="11"/>
      <c r="B12" s="17"/>
    </row>
    <row r="13" spans="1:2" x14ac:dyDescent="0.25">
      <c r="A13" s="11" t="s">
        <v>516</v>
      </c>
      <c r="B13" s="17">
        <f>B6*B10*B11</f>
        <v>8568000</v>
      </c>
    </row>
    <row r="14" spans="1:2" x14ac:dyDescent="0.25">
      <c r="A14" s="11" t="s">
        <v>517</v>
      </c>
      <c r="B14" s="17">
        <f>B7*B10*B11</f>
        <v>992000</v>
      </c>
    </row>
    <row r="15" spans="1:2" ht="15.75" x14ac:dyDescent="0.25">
      <c r="A15" s="21" t="s">
        <v>518</v>
      </c>
      <c r="B15" s="22">
        <f>SUM(B13:B14)</f>
        <v>9560000</v>
      </c>
    </row>
    <row r="16" spans="1:2" x14ac:dyDescent="0.25">
      <c r="A16" s="11"/>
    </row>
    <row r="17" spans="1:2" x14ac:dyDescent="0.25">
      <c r="A17" s="11" t="s">
        <v>519</v>
      </c>
      <c r="B17" t="s">
        <v>520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開發人天評估</vt:lpstr>
      <vt:lpstr>專案摘要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Chen</cp:lastModifiedBy>
  <dcterms:created xsi:type="dcterms:W3CDTF">2026-03-05T02:03:21Z</dcterms:created>
  <dcterms:modified xsi:type="dcterms:W3CDTF">2026-03-05T02:41:42Z</dcterms:modified>
</cp:coreProperties>
</file>